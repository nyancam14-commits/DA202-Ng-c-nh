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3760CA3-BA2E-416F-841D-63D808D17C1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Nhiệm vụ 1" sheetId="4" r:id="rId1"/>
    <sheet name="Nhiệm vụ 2" sheetId="3" r:id="rId2"/>
    <sheet name="Nhiệm vụ 3" sheetId="5" r:id="rId3"/>
    <sheet name="DonHang" sheetId="1" r:id="rId4"/>
    <sheet name="BangGia" sheetId="2" r:id="rId5"/>
  </sheets>
  <definedNames>
    <definedName name="_xlnm._FilterDatabase" localSheetId="3" hidden="1">DonHang!$A$1:$K$1</definedName>
  </definedNames>
  <calcPr calcId="0"/>
  <pivotCaches>
    <pivotCache cacheId="11" r:id="rId6"/>
  </pivotCaches>
</workbook>
</file>

<file path=xl/sharedStrings.xml><?xml version="1.0" encoding="utf-8"?>
<sst xmlns="http://schemas.openxmlformats.org/spreadsheetml/2006/main" count="1089" uniqueCount="249">
  <si>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</si>
  <si>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</si>
  <si>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</si>
  <si>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</si>
  <si>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</si>
  <si>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</si>
  <si>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</si>
  <si>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</si>
  <si>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</si>
  <si>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</si>
  <si>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</si>
  <si>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</si>
  <si>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</si>
  <si>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</si>
  <si>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</si>
  <si>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</si>
  <si>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</si>
  <si>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</si>
  <si>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</si>
  <si>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</si>
  <si>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</si>
  <si>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</si>
  <si>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</si>
  <si>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</si>
  <si>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</si>
  <si>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</si>
  <si>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</si>
  <si>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</si>
  <si>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</si>
  <si>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</si>
  <si>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</si>
  <si>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</si>
  <si>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</si>
  <si>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</si>
  <si>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</si>
  <si>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</si>
  <si>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</si>
  <si>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</si>
  <si>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</si>
  <si>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</si>
  <si>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</si>
  <si>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</si>
  <si>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</si>
  <si>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</si>
  <si>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</si>
  <si>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</si>
  <si>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</si>
  <si>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</si>
  <si>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</si>
  <si>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</si>
  <si>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</si>
  <si>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</si>
  <si>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</si>
  <si>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</si>
  <si>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</si>
  <si>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</si>
  <si>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</si>
  <si>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</si>
  <si>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</si>
  <si>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</si>
  <si>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</si>
  <si>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</si>
  <si>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</si>
  <si>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</si>
  <si>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</si>
  <si>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</si>
  <si>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</si>
  <si>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</si>
  <si>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</si>
  <si>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</si>
  <si>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</si>
  <si>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</si>
  <si>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</si>
  <si>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</si>
  <si>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</si>
  <si>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</si>
  <si>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</si>
  <si>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</si>
  <si>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</si>
  <si>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</si>
  <si>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</si>
  <si>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</si>
  <si>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</si>
  <si>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</si>
  <si>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</si>
  <si>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</si>
  <si>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</si>
  <si>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</si>
  <si>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</si>
  <si>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</si>
  <si>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</si>
  <si>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</si>
  <si>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</si>
  <si>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</si>
  <si>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</si>
  <si>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</si>
  <si>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</si>
  <si>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</si>
  <si>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</si>
  <si>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</si>
  <si>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</si>
  <si>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</si>
  <si>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</si>
  <si>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</si>
  <si>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</si>
  <si>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</si>
  <si>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</si>
  <si>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</si>
  <si>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</si>
  <si>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</si>
  <si>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</si>
  <si>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</si>
  <si>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</si>
  <si>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</si>
  <si>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</si>
  <si>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</si>
  <si>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</si>
  <si>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</si>
  <si>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</si>
  <si>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</si>
  <si>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</si>
  <si>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</si>
  <si>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</si>
  <si>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</si>
  <si>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</si>
  <si>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</si>
  <si>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</si>
  <si>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</si>
  <si>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</si>
  <si>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</si>
  <si>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</si>
  <si>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</si>
  <si>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</si>
  <si>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</si>
  <si>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</si>
  <si>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</si>
  <si>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</si>
  <si>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</si>
  <si>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</si>
  <si>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</si>
  <si>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</si>
  <si>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</si>
  <si>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</si>
  <si>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</si>
  <si>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</si>
  <si>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</si>
  <si>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</si>
  <si>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</si>
  <si>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</si>
  <si>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</si>
  <si>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</si>
  <si>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</si>
  <si>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</si>
  <si>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</si>
  <si>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</si>
  <si>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</si>
  <si>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</si>
  <si>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</si>
  <si>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</si>
  <si>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</si>
  <si>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</si>
  <si>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</si>
  <si>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</si>
  <si>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</si>
  <si>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</si>
  <si>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</si>
  <si>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</si>
  <si>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</si>
  <si>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</si>
  <si>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</si>
  <si>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</si>
  <si>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</si>
  <si>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</si>
  <si>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</si>
  <si>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</si>
  <si>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</si>
  <si>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</si>
  <si>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</si>
  <si>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</si>
  <si>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</si>
  <si>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</si>
  <si>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</si>
  <si>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</si>
  <si>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</si>
  <si>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</si>
  <si>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</si>
  <si>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</si>
  <si>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</si>
  <si>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</si>
  <si>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</si>
  <si>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</si>
  <si>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</si>
  <si>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</si>
  <si>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</si>
  <si>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</si>
  <si>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</si>
  <si>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</si>
  <si>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</si>
  <si>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</si>
  <si>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Sum of Thành tiền</t>
  </si>
  <si>
    <t>Row Labels</t>
  </si>
  <si>
    <t>Grand Total</t>
  </si>
  <si>
    <t>Jan</t>
  </si>
  <si>
    <t>Feb</t>
  </si>
  <si>
    <t>Mar</t>
  </si>
  <si>
    <t>Apr</t>
  </si>
  <si>
    <t>Jun</t>
  </si>
  <si>
    <t>Jul</t>
  </si>
  <si>
    <t>TT</t>
  </si>
  <si>
    <t>Câu hỏi</t>
  </si>
  <si>
    <t>Loại biểu đồ/KPI</t>
  </si>
  <si>
    <t>Kích thước</t>
  </si>
  <si>
    <t>Vị trí trên sheet</t>
  </si>
  <si>
    <t>Tổng doanh thu 2023</t>
  </si>
  <si>
    <t>Big Number (Card)</t>
  </si>
  <si>
    <t>Nhỏ</t>
  </si>
  <si>
    <t>Trên cùng bên trái</t>
  </si>
  <si>
    <t>Xu hướng theo tháng</t>
  </si>
  <si>
    <t>Line Chart</t>
  </si>
  <si>
    <t>Lớn</t>
  </si>
  <si>
    <t>Giữa (chiếm toàn bộ chiều ngang)</t>
  </si>
  <si>
    <t>Hiệu quả chi nhánh</t>
  </si>
  <si>
    <t>Bar Chart (Dọc)</t>
  </si>
  <si>
    <t>Trung bình</t>
  </si>
  <si>
    <t>Phía dưới, bên trái</t>
  </si>
  <si>
    <t>Top 5 sản phẩm</t>
  </si>
  <si>
    <t>Bar Chart (Ngang)</t>
  </si>
  <si>
    <t>Phía dưới, ở giữa</t>
  </si>
  <si>
    <t>Cơ cấu kênh bán</t>
  </si>
  <si>
    <t>Pie/Doughnut Chart</t>
  </si>
  <si>
    <t>Phía dưới, bên phải</t>
  </si>
  <si>
    <t>Insight</t>
  </si>
  <si>
    <t>Phát hiện</t>
  </si>
  <si>
    <t>Đề xuất hành động</t>
  </si>
  <si>
    <t>1. Tổng quan</t>
  </si>
  <si>
    <t>Doanh thu đạt mục tiêu năm nhưng biên lợi nhuận mỏng.</t>
  </si>
  <si>
    <t>Rà soát lại giá vốn nguyên vật liệu (COGS).</t>
  </si>
  <si>
    <t>2. Xu hướng</t>
  </si>
  <si>
    <t>Lên kế hoạch dự phòng nhân sự thời vụ cho cuối năm sau.</t>
  </si>
  <si>
    <t>3. Chi nhánh</t>
  </si>
  <si>
    <t>4. Sản phẩm</t>
  </si>
  <si>
    <t>Phát triển thêm dòng "Signature" cao cấp để tăng giá trị đơn hàng trung bình.</t>
  </si>
  <si>
    <t>5. Kênh bán</t>
  </si>
  <si>
    <t>Kênh Online (App) tăng trưởng nhanh hơn kênh tại chỗ.</t>
  </si>
  <si>
    <t>Đầu tư thêm vào bao bì giữ nhiệt và marketing trên các ứng dụng giao hàng.</t>
  </si>
  <si>
    <t>Top 5 sản phẩm chủ yếu là pizza.</t>
  </si>
  <si>
    <t>Doanh thu bùng nổ vào Quý 1 (tháng 1-3).</t>
  </si>
  <si>
    <t xml:space="preserve">Chi nhánh Đà Nẵng có doanh thu cao nhất, chi nhánh TP.HCM đang dưới mức thấp nhất. </t>
  </si>
  <si>
    <t>Cử quản lý giỏi từ Đà Nẵng sang đào tạo và kiểm tra lại vị trí mặt bằng tại TP.HCM.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</si>
</sst>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7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6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THU THEO THÁNG NĂM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'Nhiệm vụ 2'!$B$6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'Nhiệm vụ 2'!$A$7:$A$13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'Nhiệm vụ 2'!$B$7:$B$13</c:f>
              <c:numCache>
                <c:formatCode>#,##0</c:formatCode>
                <c:ptCount val="6"/>
                <c:pt idx="0">
                  <c:v>6868000</c:v>
                </c:pt>
                <c:pt idx="1">
                  <c:v>9018000</c:v>
                </c:pt>
                <c:pt idx="2">
                  <c:v>7101000</c:v>
                </c:pt>
                <c:pt idx="3">
                  <c:v>5253000</c:v>
                </c:pt>
                <c:pt idx="4">
                  <c:v>3311000</c:v>
                </c:pt>
                <c:pt idx="5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6-44D4-B5BC-DF033B6FD8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4899568"/>
        <c:axId val="1994900528"/>
      </c:lineChart>
      <c:catAx>
        <c:axId val="199489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00528"/>
        <c:crosses val="autoZero"/>
        <c:auto val="1"/>
        <c:lblAlgn val="ctr"/>
        <c:lblOffset val="100"/>
        <c:noMultiLvlLbl val="0"/>
      </c:catAx>
      <c:valAx>
        <c:axId val="199490052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89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THU THEO CHI NHÁNH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'Nhiệm vụ 2'!$B$15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'Nhiệm vụ 2'!$A$16:$A$19</c:f>
              <c:strCache>
                <c:ptCount val="3"/>
                <c:pt idx="0">
                  <c:v>TP.HCM</c:v>
                </c:pt>
                <c:pt idx="1">
                  <c:v>Hà Nội</c:v>
                </c:pt>
                <c:pt idx="2">
                  <c:v>Đà Nẵng</c:v>
                </c:pt>
              </c:strCache>
            </c:strRef>
          </c:cat>
          <c:val>
            <c:numRef>
              <c:f>'Nhiệm vụ 2'!$B$16:$B$19</c:f>
              <c:numCache>
                <c:formatCode>#,##0</c:formatCode>
                <c:ptCount val="3"/>
                <c:pt idx="0">
                  <c:v>9573000</c:v>
                </c:pt>
                <c:pt idx="1">
                  <c:v>10599000</c:v>
                </c:pt>
                <c:pt idx="2">
                  <c:v>11529000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C-4A28-AE72-68A1C7A957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50260144"/>
        <c:axId val="150262064"/>
      </c:barChart>
      <c:catAx>
        <c:axId val="15026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2064"/>
        <c:crosses val="autoZero"/>
        <c:auto val="1"/>
        <c:lblAlgn val="ctr"/>
        <c:lblOffset val="100"/>
        <c:noMultiLvlLbl val="0"/>
      </c:catAx>
      <c:valAx>
        <c:axId val="150262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TOP 5 SẢN PHẨM DOANH THU CAO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'Nhiệm vụ 2'!$B$21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'Nhiệm vụ 2'!$A$22:$A$27</c:f>
              <c:strCache>
                <c:ptCount val="5"/>
                <c:pt idx="0">
                  <c:v>Cánh Gà Chiên Mắm</c:v>
                </c:pt>
                <c:pt idx="1">
                  <c:v>Pizza Pepperoni</c:v>
                </c:pt>
                <c:pt idx="2">
                  <c:v>Pizza Rau Củ</c:v>
                </c:pt>
                <c:pt idx="3">
                  <c:v>Gà Rán 5 Miếng</c:v>
                </c:pt>
                <c:pt idx="4">
                  <c:v>Pizza Hải Sản</c:v>
                </c:pt>
              </c:strCache>
            </c:strRef>
          </c:cat>
          <c:val>
            <c:numRef>
              <c:f>'Nhiệm vụ 2'!$B$22:$B$27</c:f>
              <c:numCache>
                <c:formatCode>#,##0</c:formatCode>
                <c:ptCount val="5"/>
                <c:pt idx="0">
                  <c:v>1975000</c:v>
                </c:pt>
                <c:pt idx="1">
                  <c:v>2385000</c:v>
                </c:pt>
                <c:pt idx="2">
                  <c:v>2451000</c:v>
                </c:pt>
                <c:pt idx="3">
                  <c:v>4257000</c:v>
                </c:pt>
                <c:pt idx="4">
                  <c:v>9450000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C-46FC-89F4-BD43E9A78C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50258704"/>
        <c:axId val="150269264"/>
      </c:barChart>
      <c:valAx>
        <c:axId val="150269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8704"/>
        <c:crossBetween val="between"/>
      </c:valAx>
      <c:catAx>
        <c:axId val="15025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92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THU THEO KÊNH BÁN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3643379667163497"/>
              <c:y val="0.1262226572877705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DA07293-DD96-47C6-83FF-786DE5D67154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22950978714982437"/>
              <c:y val="8.030082724921355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C6CCC30D-8A10-4D18-B456-EFF17D2274E0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3229347123422963"/>
              <c:y val="-0.1501986640107090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B7BC817-9F8E-49D9-99EF-A21367F56AB1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'Nhiệm vụ 2'!$B$39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55A-40A2-996B-5A4522879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55A-40A2-996B-5A4522879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55A-40A2-996B-5A45228799EC}"/>
              </c:ext>
            </c:extLst>
          </c:dPt>
          <c:dLbls>
            <c:dLbl>
              <c:idx val="0"/>
              <c:layout>
                <c:manualLayout>
                  <c:x val="-0.22950978714982437"/>
                  <c:y val="8.0300827249213558E-2"/>
                </c:manualLayout>
              </c:layout>
              <c:tx>
                <c:rich>
                  <a:bodyPr/>
                  <a:lstStyle/>
                  <a:p>
                    <a:fld id="{C6CCC30D-8A10-4D18-B456-EFF17D2274E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55A-40A2-996B-5A45228799EC}"/>
                </c:ext>
              </c:extLst>
            </c:dLbl>
            <c:dLbl>
              <c:idx val="1"/>
              <c:layout>
                <c:manualLayout>
                  <c:x val="0.13229347123422963"/>
                  <c:y val="-0.15019866401070908"/>
                </c:manualLayout>
              </c:layout>
              <c:tx>
                <c:rich>
                  <a:bodyPr/>
                  <a:lstStyle/>
                  <a:p>
                    <a:fld id="{BB7BC817-9F8E-49D9-99EF-A21367F56AB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55A-40A2-996B-5A45228799EC}"/>
                </c:ext>
              </c:extLst>
            </c:dLbl>
            <c:dLbl>
              <c:idx val="2"/>
              <c:layout>
                <c:manualLayout>
                  <c:x val="0.13643379667163497"/>
                  <c:y val="0.12622265728777052"/>
                </c:manualLayout>
              </c:layout>
              <c:tx>
                <c:rich>
                  <a:bodyPr/>
                  <a:lstStyle/>
                  <a:p>
                    <a:fld id="{BDA07293-DD96-47C6-83FF-786DE5D6715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55A-40A2-996B-5A4522879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'Nhiệm vụ 2'!$A$40:$A$43</c:f>
              <c:strCache>
                <c:ptCount val="3"/>
                <c:pt idx="0">
                  <c:v>Grab</c:v>
                </c:pt>
                <c:pt idx="1">
                  <c:v>ShopeeFood</c:v>
                </c:pt>
                <c:pt idx="2">
                  <c:v>Tại quán</c:v>
                </c:pt>
              </c:strCache>
            </c:strRef>
          </c:cat>
          <c:val>
            <c:numRef>
              <c:f>'Nhiệm vụ 2'!$B$40:$B$43</c:f>
              <c:numCache>
                <c:formatCode>0.00%</c:formatCode>
                <c:ptCount val="3"/>
                <c:pt idx="0">
                  <c:v>0.4126683700829627</c:v>
                </c:pt>
                <c:pt idx="1">
                  <c:v>0.31860193684741805</c:v>
                </c:pt>
                <c:pt idx="2">
                  <c:v>0.26872969306961925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A-40A2-996B-5A45228799E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30480</xdr:rowOff>
    </xdr:from>
    <xdr:to>
      <xdr:col>17</xdr:col>
      <xdr:colOff>327660</xdr:colOff>
      <xdr:row>5</xdr:row>
      <xdr:rowOff>167640</xdr:rowOff>
    </xdr:to>
    <xdr:sp macro="" textlink="$A$4">
      <xdr:nvSpPr>
        <xdr:cNvPr id="3" name="Rectangle: Rounded Corners 2">
          <a:extLst>
            <a:ext uri="{FF2B5EF4-FFF2-40B4-BE49-F238E27FC236}">
              <a16:creationId xmlns:a16="http://schemas.microsoft.com/office/drawing/2014/main" id="{BDFF0C88-1185-B325-85E3-6025A2E695A9}"/>
            </a:ext>
          </a:extLst>
        </xdr:cNvPr>
        <xdr:cNvSpPr/>
      </xdr:nvSpPr>
      <xdr:spPr>
        <a:xfrm>
          <a:off x="2987040" y="213360"/>
          <a:ext cx="8831580" cy="8686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vi-VN" sz="3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Tổng doanh thu 2023: </a:t>
          </a:r>
          <a:fld id="{71979066-B8CF-4011-A15A-0546FF76415E}" type="TxLink">
            <a:rPr lang="en-US" sz="3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31,701,000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575310</xdr:colOff>
      <xdr:row>6</xdr:row>
      <xdr:rowOff>7620</xdr:rowOff>
    </xdr:from>
    <xdr:to>
      <xdr:col>20</xdr:col>
      <xdr:colOff>502920</xdr:colOff>
      <xdr:row>21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9084CA-7F36-2B16-A2EC-853AFC63C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575310</xdr:colOff>
      <xdr:row>21</xdr:row>
      <xdr:rowOff>15240</xdr:rowOff>
    </xdr:from>
    <xdr:to>
      <xdr:col>9</xdr:col>
      <xdr:colOff>15240</xdr:colOff>
      <xdr:row>36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8843C9-C1AE-DB6A-643F-44DC29EA8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</xdr:colOff>
      <xdr:row>21</xdr:row>
      <xdr:rowOff>22860</xdr:rowOff>
    </xdr:from>
    <xdr:to>
      <xdr:col>15</xdr:col>
      <xdr:colOff>419100</xdr:colOff>
      <xdr:row>36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AE29E6-5082-1589-61E3-9B918C989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434340</xdr:colOff>
      <xdr:row>21</xdr:row>
      <xdr:rowOff>7620</xdr:rowOff>
    </xdr:from>
    <xdr:to>
      <xdr:col>20</xdr:col>
      <xdr:colOff>487680</xdr:colOff>
      <xdr:row>36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4F38D1-9B28-B764-5A44-5A846208A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uy" refreshedDate="46048.811380324078" createdVersion="8" refreshedVersion="8" minRefreshableVersion="3" recordCount="150" xr:uid="{9B9BAC16-4B51-4DF7-8A7B-7251E681A205}">
  <cacheSource type="worksheet">
    <worksheetSource ref="A1:K151" sheet="DonHang"/>
  </cacheSource>
  <cacheFields count="14">
    <cacheField name="Mã đơn hàng" numFmtId="0">
      <sharedItems/>
    </cacheField>
    <cacheField name="Ngày bán" numFmtId="164">
      <sharedItems containsSemiMixedTypes="0" containsNonDate="0" containsDate="1" containsString="0" minDate="2023-01-02T00:00:00" maxDate="2027-03-25T00:00:00" count="12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4-03-24T00:00:00"/>
        <d v="2025-03-24T00:00:00"/>
        <d v="2026-03-24T00:00:00"/>
        <d v="2027-03-24T00:00:00"/>
        <d v="2023-07-29T00:00:00"/>
        <d v="2023-07-30T00:00:00"/>
        <d v="2023-07-31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</sharedItems>
      <fieldGroup par="13"/>
    </cacheField>
    <cacheField name="Nhân viên" numFmtId="0">
      <sharedItems/>
    </cacheField>
    <cacheField name="Chi nhánh" numFmtId="0">
      <sharedItems count="3">
        <s v="Hà Nội"/>
        <s v="TP.HCM"/>
        <s v="Đà Nẵng"/>
      </sharedItems>
    </cacheField>
    <cacheField name="Tên sản phẩm" numFmtId="0">
      <sharedItems count="15">
        <s v="Burger Bò Phô Mai"/>
        <s v="Burger Gà Giòn"/>
        <s v="Gà Rán 5 Miếng"/>
        <s v="Gà Rán 2 Miếng"/>
        <s v="Khoai Tây Chiên (M)"/>
        <s v="Trà Đào"/>
        <s v="Pizza Rau Củ"/>
        <s v="Khoai Tây Chiên (L)"/>
        <s v="Pizza Hải Sản"/>
        <s v="Salad Trộn"/>
        <s v="Pepsi"/>
        <s v="Burger Tôm"/>
        <s v="Cánh Gà Chiên Mắm"/>
        <s v="Coca Cola"/>
        <s v="Pizza Pepperoni"/>
      </sharedItems>
    </cacheField>
    <cacheField name="Danh mục" numFmtId="0">
      <sharedItems count="5">
        <s v="Burger"/>
        <s v="Gà rán"/>
        <s v="Món phụ"/>
        <s v="Nước uống"/>
        <s v="Pizza"/>
      </sharedItems>
    </cacheField>
    <cacheField name="Số lượng" numFmtId="0">
      <sharedItems containsSemiMixedTypes="0" containsString="0" containsNumber="1" containsInteger="1" minValue="1" maxValue="5"/>
    </cacheField>
    <cacheField name="Đơn giá" numFmtId="3">
      <sharedItems containsSemiMixedTypes="0" containsString="0" containsNumber="1" containsInteger="1" minValue="18000" maxValue="189000"/>
    </cacheField>
    <cacheField name="Thành tiền" numFmtId="3">
      <sharedItems containsSemiMixedTypes="0" containsString="0" containsNumber="1" containsInteger="1" minValue="18000" maxValue="945000"/>
    </cacheField>
    <cacheField name="Kênh bán" numFmtId="0">
      <sharedItems count="3">
        <s v="Tại quán"/>
        <s v="Grab"/>
        <s v="ShopeeFood"/>
      </sharedItems>
    </cacheField>
    <cacheField name="Ghi chú" numFmtId="0">
      <sharedItems containsBlank="1"/>
    </cacheField>
    <cacheField name="Months (Ngày bán)" numFmtId="0" databaseField="0">
      <fieldGroup base="1">
        <rangePr groupBy="months" startDate="2023-01-02T00:00:00" endDate="2027-03-25T00:00:00"/>
        <groupItems count="14">
          <s v="&lt;1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5/2027"/>
        </groupItems>
      </fieldGroup>
    </cacheField>
    <cacheField name="Quarters (Ngày bán)" numFmtId="0" databaseField="0">
      <fieldGroup base="1">
        <rangePr groupBy="quarters" startDate="2023-01-02T00:00:00" endDate="2027-03-25T00:00:00"/>
        <groupItems count="6">
          <s v="&lt;1/2/2023"/>
          <s v="Qtr1"/>
          <s v="Qtr2"/>
          <s v="Qtr3"/>
          <s v="Qtr4"/>
          <s v="&gt;3/25/2027"/>
        </groupItems>
      </fieldGroup>
    </cacheField>
    <cacheField name="Years (Ngày bán)" numFmtId="0" databaseField="0">
      <fieldGroup base="1">
        <rangePr groupBy="years" startDate="2023-01-02T00:00:00" endDate="2027-03-25T00:00:00"/>
        <groupItems count="7">
          <s v="&lt;1/2/2023"/>
          <s v="2023"/>
          <s v="2024"/>
          <s v="2025"/>
          <s v="2026"/>
          <s v="2027"/>
          <s v="&gt;3/25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QB-240001"/>
    <x v="0"/>
    <s v="Nguyễn Minh Anh"/>
    <x v="0"/>
    <x v="0"/>
    <x v="0"/>
    <n v="3"/>
    <n v="55000"/>
    <n v="165000"/>
    <x v="0"/>
    <m/>
  </r>
  <r>
    <s v="QB-240002"/>
    <x v="1"/>
    <s v="Võ Văn Phúc"/>
    <x v="1"/>
    <x v="1"/>
    <x v="0"/>
    <n v="5"/>
    <n v="45000"/>
    <n v="225000"/>
    <x v="0"/>
    <s v="Thêm tương ớt"/>
  </r>
  <r>
    <s v="QB-240003"/>
    <x v="1"/>
    <s v="Nguyễn Minh Anh"/>
    <x v="0"/>
    <x v="0"/>
    <x v="0"/>
    <n v="1"/>
    <n v="55000"/>
    <n v="55000"/>
    <x v="0"/>
    <m/>
  </r>
  <r>
    <s v="QB-240004"/>
    <x v="2"/>
    <s v="Hoàng Thị Em"/>
    <x v="1"/>
    <x v="0"/>
    <x v="0"/>
    <n v="5"/>
    <n v="55000"/>
    <n v="275000"/>
    <x v="0"/>
    <s v="Ít đá"/>
  </r>
  <r>
    <s v="QB-240005"/>
    <x v="3"/>
    <s v="Trần Văn Bình"/>
    <x v="0"/>
    <x v="2"/>
    <x v="1"/>
    <n v="5"/>
    <n v="129000"/>
    <n v="645000"/>
    <x v="1"/>
    <m/>
  </r>
  <r>
    <s v="QB-240006"/>
    <x v="3"/>
    <s v="Võ Văn Phúc"/>
    <x v="1"/>
    <x v="3"/>
    <x v="1"/>
    <n v="3"/>
    <n v="59000"/>
    <n v="177000"/>
    <x v="1"/>
    <m/>
  </r>
  <r>
    <s v="QB-240007"/>
    <x v="4"/>
    <s v="Lê Thị Cẩm"/>
    <x v="2"/>
    <x v="1"/>
    <x v="0"/>
    <n v="1"/>
    <n v="45000"/>
    <n v="45000"/>
    <x v="1"/>
    <m/>
  </r>
  <r>
    <s v="QB-240008"/>
    <x v="5"/>
    <s v="Lê Thị Cẩm"/>
    <x v="2"/>
    <x v="4"/>
    <x v="2"/>
    <n v="3"/>
    <n v="25000"/>
    <n v="75000"/>
    <x v="0"/>
    <s v="Không hành"/>
  </r>
  <r>
    <s v="QB-240009"/>
    <x v="6"/>
    <s v="Nguyễn Minh Anh"/>
    <x v="0"/>
    <x v="5"/>
    <x v="3"/>
    <n v="4"/>
    <n v="25000"/>
    <n v="100000"/>
    <x v="0"/>
    <s v="Ít đá"/>
  </r>
  <r>
    <s v="QB-240010"/>
    <x v="6"/>
    <s v="Võ Văn Phúc"/>
    <x v="1"/>
    <x v="4"/>
    <x v="2"/>
    <n v="3"/>
    <n v="25000"/>
    <n v="75000"/>
    <x v="2"/>
    <m/>
  </r>
  <r>
    <s v="QB-240011"/>
    <x v="7"/>
    <s v="Nguyễn Minh Anh"/>
    <x v="0"/>
    <x v="0"/>
    <x v="0"/>
    <n v="2"/>
    <n v="55000"/>
    <n v="110000"/>
    <x v="1"/>
    <m/>
  </r>
  <r>
    <s v="QB-240012"/>
    <x v="8"/>
    <s v="Nguyễn Minh Anh"/>
    <x v="0"/>
    <x v="3"/>
    <x v="1"/>
    <n v="3"/>
    <n v="59000"/>
    <n v="177000"/>
    <x v="1"/>
    <s v="Khách VIP"/>
  </r>
  <r>
    <s v="QB-240013"/>
    <x v="9"/>
    <s v="Lê Thị Cẩm"/>
    <x v="2"/>
    <x v="6"/>
    <x v="4"/>
    <n v="2"/>
    <n v="129000"/>
    <n v="258000"/>
    <x v="2"/>
    <m/>
  </r>
  <r>
    <s v="QB-240014"/>
    <x v="10"/>
    <s v="Võ Văn Phúc"/>
    <x v="1"/>
    <x v="7"/>
    <x v="2"/>
    <n v="1"/>
    <n v="35000"/>
    <n v="35000"/>
    <x v="2"/>
    <m/>
  </r>
  <r>
    <s v="QB-240015"/>
    <x v="10"/>
    <s v="Võ Văn Phúc"/>
    <x v="1"/>
    <x v="8"/>
    <x v="4"/>
    <n v="2"/>
    <n v="189000"/>
    <n v="378000"/>
    <x v="1"/>
    <s v="Giao gấp"/>
  </r>
  <r>
    <s v="QB-240016"/>
    <x v="11"/>
    <s v="Võ Văn Phúc"/>
    <x v="1"/>
    <x v="9"/>
    <x v="2"/>
    <n v="5"/>
    <n v="39000"/>
    <n v="195000"/>
    <x v="0"/>
    <s v="Khách VIP"/>
  </r>
  <r>
    <s v="QB-240017"/>
    <x v="12"/>
    <s v="Trần Văn Bình"/>
    <x v="0"/>
    <x v="10"/>
    <x v="3"/>
    <n v="1"/>
    <n v="18000"/>
    <n v="18000"/>
    <x v="1"/>
    <s v="Giao gấp"/>
  </r>
  <r>
    <s v="QB-240018"/>
    <x v="13"/>
    <s v="Nguyễn Minh Anh"/>
    <x v="0"/>
    <x v="8"/>
    <x v="4"/>
    <n v="5"/>
    <n v="189000"/>
    <n v="945000"/>
    <x v="2"/>
    <s v="Khách VIP"/>
  </r>
  <r>
    <s v="QB-240019"/>
    <x v="13"/>
    <s v="Võ Văn Phúc"/>
    <x v="1"/>
    <x v="2"/>
    <x v="1"/>
    <n v="4"/>
    <n v="129000"/>
    <n v="516000"/>
    <x v="2"/>
    <s v="Không hành"/>
  </r>
  <r>
    <s v="QB-240020"/>
    <x v="14"/>
    <s v="Lê Thị Cẩm"/>
    <x v="2"/>
    <x v="11"/>
    <x v="0"/>
    <n v="2"/>
    <n v="65000"/>
    <n v="130000"/>
    <x v="2"/>
    <s v="Ít đá"/>
  </r>
  <r>
    <s v="QB-240021"/>
    <x v="15"/>
    <s v="Lê Thị Cẩm"/>
    <x v="2"/>
    <x v="9"/>
    <x v="2"/>
    <n v="5"/>
    <n v="39000"/>
    <n v="195000"/>
    <x v="1"/>
    <s v="Thêm tương ớt"/>
  </r>
  <r>
    <s v="QB-240022"/>
    <x v="16"/>
    <s v="Lê Thị Cẩm"/>
    <x v="2"/>
    <x v="8"/>
    <x v="4"/>
    <n v="2"/>
    <n v="189000"/>
    <n v="378000"/>
    <x v="2"/>
    <s v="Không hành"/>
  </r>
  <r>
    <s v="QB-240023"/>
    <x v="16"/>
    <s v="Nguyễn Minh Anh"/>
    <x v="0"/>
    <x v="10"/>
    <x v="3"/>
    <n v="1"/>
    <n v="18000"/>
    <n v="18000"/>
    <x v="0"/>
    <m/>
  </r>
  <r>
    <s v="QB-240024"/>
    <x v="17"/>
    <s v="Phạm Hoàng Dũng"/>
    <x v="2"/>
    <x v="4"/>
    <x v="2"/>
    <n v="1"/>
    <n v="25000"/>
    <n v="25000"/>
    <x v="1"/>
    <s v="Giao gấp"/>
  </r>
  <r>
    <s v="QB-240025"/>
    <x v="18"/>
    <s v="Phạm Hoàng Dũng"/>
    <x v="2"/>
    <x v="12"/>
    <x v="1"/>
    <n v="3"/>
    <n v="79000"/>
    <n v="237000"/>
    <x v="2"/>
    <m/>
  </r>
  <r>
    <s v="QB-240026"/>
    <x v="18"/>
    <s v="Võ Văn Phúc"/>
    <x v="1"/>
    <x v="1"/>
    <x v="0"/>
    <n v="5"/>
    <n v="45000"/>
    <n v="225000"/>
    <x v="1"/>
    <s v="Khách VIP"/>
  </r>
  <r>
    <s v="QB-240027"/>
    <x v="19"/>
    <s v="Lê Thị Cẩm"/>
    <x v="2"/>
    <x v="3"/>
    <x v="1"/>
    <n v="2"/>
    <n v="59000"/>
    <n v="118000"/>
    <x v="1"/>
    <m/>
  </r>
  <r>
    <s v="QB-240028"/>
    <x v="20"/>
    <s v="Hoàng Thị Em"/>
    <x v="1"/>
    <x v="13"/>
    <x v="3"/>
    <n v="2"/>
    <n v="18000"/>
    <n v="36000"/>
    <x v="2"/>
    <m/>
  </r>
  <r>
    <s v="QB-240029"/>
    <x v="21"/>
    <s v="Lê Thị Cẩm"/>
    <x v="2"/>
    <x v="10"/>
    <x v="3"/>
    <n v="5"/>
    <n v="18000"/>
    <n v="90000"/>
    <x v="2"/>
    <m/>
  </r>
  <r>
    <s v="QB-240030"/>
    <x v="21"/>
    <s v="Lê Thị Cẩm"/>
    <x v="2"/>
    <x v="13"/>
    <x v="3"/>
    <n v="2"/>
    <n v="18000"/>
    <n v="36000"/>
    <x v="2"/>
    <s v="Ít đá"/>
  </r>
  <r>
    <s v="QB-240031"/>
    <x v="22"/>
    <s v="Hoàng Thị Em"/>
    <x v="1"/>
    <x v="6"/>
    <x v="4"/>
    <n v="4"/>
    <n v="129000"/>
    <n v="516000"/>
    <x v="0"/>
    <m/>
  </r>
  <r>
    <s v="QB-240032"/>
    <x v="23"/>
    <s v="Lê Thị Cẩm"/>
    <x v="2"/>
    <x v="8"/>
    <x v="4"/>
    <n v="1"/>
    <n v="189000"/>
    <n v="189000"/>
    <x v="0"/>
    <s v="Thêm tương ớt"/>
  </r>
  <r>
    <s v="QB-240033"/>
    <x v="24"/>
    <s v="Nguyễn Minh Anh"/>
    <x v="0"/>
    <x v="9"/>
    <x v="2"/>
    <n v="4"/>
    <n v="39000"/>
    <n v="156000"/>
    <x v="0"/>
    <s v="Ít đá"/>
  </r>
  <r>
    <s v="QB-240034"/>
    <x v="24"/>
    <s v="Trần Văn Bình"/>
    <x v="0"/>
    <x v="7"/>
    <x v="2"/>
    <n v="4"/>
    <n v="35000"/>
    <n v="140000"/>
    <x v="2"/>
    <m/>
  </r>
  <r>
    <s v="QB-240035"/>
    <x v="25"/>
    <s v="Hoàng Thị Em"/>
    <x v="1"/>
    <x v="10"/>
    <x v="3"/>
    <n v="5"/>
    <n v="18000"/>
    <n v="90000"/>
    <x v="1"/>
    <m/>
  </r>
  <r>
    <s v="QB-240036"/>
    <x v="26"/>
    <s v="Võ Văn Phúc"/>
    <x v="1"/>
    <x v="9"/>
    <x v="2"/>
    <n v="2"/>
    <n v="39000"/>
    <n v="78000"/>
    <x v="2"/>
    <m/>
  </r>
  <r>
    <s v="QB-240037"/>
    <x v="27"/>
    <s v="Võ Văn Phúc"/>
    <x v="1"/>
    <x v="7"/>
    <x v="2"/>
    <n v="3"/>
    <n v="35000"/>
    <n v="105000"/>
    <x v="1"/>
    <s v="Ít đá"/>
  </r>
  <r>
    <s v="QB-240038"/>
    <x v="27"/>
    <s v="Nguyễn Minh Anh"/>
    <x v="0"/>
    <x v="8"/>
    <x v="4"/>
    <n v="2"/>
    <n v="189000"/>
    <n v="378000"/>
    <x v="0"/>
    <s v="Khách VIP"/>
  </r>
  <r>
    <s v="QB-240039"/>
    <x v="28"/>
    <s v="Hoàng Thị Em"/>
    <x v="1"/>
    <x v="12"/>
    <x v="1"/>
    <n v="2"/>
    <n v="79000"/>
    <n v="158000"/>
    <x v="2"/>
    <m/>
  </r>
  <r>
    <s v="QB-240040"/>
    <x v="29"/>
    <s v="Nguyễn Minh Anh"/>
    <x v="0"/>
    <x v="9"/>
    <x v="2"/>
    <n v="1"/>
    <n v="39000"/>
    <n v="39000"/>
    <x v="0"/>
    <m/>
  </r>
  <r>
    <s v="QB-240041"/>
    <x v="30"/>
    <s v="Lê Thị Cẩm"/>
    <x v="2"/>
    <x v="1"/>
    <x v="0"/>
    <n v="5"/>
    <n v="45000"/>
    <n v="225000"/>
    <x v="0"/>
    <m/>
  </r>
  <r>
    <s v="QB-240042"/>
    <x v="30"/>
    <s v="Phạm Hoàng Dũng"/>
    <x v="2"/>
    <x v="8"/>
    <x v="4"/>
    <n v="5"/>
    <n v="189000"/>
    <n v="945000"/>
    <x v="0"/>
    <s v="Thêm tương ớt"/>
  </r>
  <r>
    <s v="QB-240043"/>
    <x v="31"/>
    <s v="Phạm Hoàng Dũng"/>
    <x v="2"/>
    <x v="8"/>
    <x v="4"/>
    <n v="4"/>
    <n v="189000"/>
    <n v="756000"/>
    <x v="1"/>
    <m/>
  </r>
  <r>
    <s v="QB-240044"/>
    <x v="32"/>
    <s v="Nguyễn Minh Anh"/>
    <x v="0"/>
    <x v="7"/>
    <x v="2"/>
    <n v="4"/>
    <n v="35000"/>
    <n v="140000"/>
    <x v="1"/>
    <s v="Giao gấp"/>
  </r>
  <r>
    <s v="QB-240045"/>
    <x v="33"/>
    <s v="Phạm Hoàng Dũng"/>
    <x v="2"/>
    <x v="10"/>
    <x v="3"/>
    <n v="1"/>
    <n v="18000"/>
    <n v="18000"/>
    <x v="2"/>
    <m/>
  </r>
  <r>
    <s v="QB-240046"/>
    <x v="33"/>
    <s v="Phạm Hoàng Dũng"/>
    <x v="2"/>
    <x v="9"/>
    <x v="2"/>
    <n v="3"/>
    <n v="39000"/>
    <n v="117000"/>
    <x v="0"/>
    <m/>
  </r>
  <r>
    <s v="QB-240047"/>
    <x v="34"/>
    <s v="Trần Văn Bình"/>
    <x v="0"/>
    <x v="12"/>
    <x v="1"/>
    <n v="4"/>
    <n v="79000"/>
    <n v="316000"/>
    <x v="0"/>
    <s v="Giao gấp"/>
  </r>
  <r>
    <s v="QB-240048"/>
    <x v="35"/>
    <s v="Lê Thị Cẩm"/>
    <x v="2"/>
    <x v="2"/>
    <x v="1"/>
    <n v="2"/>
    <n v="129000"/>
    <n v="258000"/>
    <x v="0"/>
    <s v="Không hành"/>
  </r>
  <r>
    <s v="QB-240049"/>
    <x v="36"/>
    <s v="Nguyễn Minh Anh"/>
    <x v="0"/>
    <x v="0"/>
    <x v="0"/>
    <n v="5"/>
    <n v="55000"/>
    <n v="275000"/>
    <x v="0"/>
    <m/>
  </r>
  <r>
    <s v="QB-240050"/>
    <x v="37"/>
    <s v="Trần Văn Bình"/>
    <x v="0"/>
    <x v="3"/>
    <x v="1"/>
    <n v="4"/>
    <n v="59000"/>
    <n v="236000"/>
    <x v="1"/>
    <m/>
  </r>
  <r>
    <s v="QB-240051"/>
    <x v="37"/>
    <s v="Nguyễn Minh Anh"/>
    <x v="0"/>
    <x v="11"/>
    <x v="0"/>
    <n v="4"/>
    <n v="65000"/>
    <n v="260000"/>
    <x v="0"/>
    <s v="Giao gấp"/>
  </r>
  <r>
    <s v="QB-240052"/>
    <x v="38"/>
    <s v="Phạm Hoàng Dũng"/>
    <x v="2"/>
    <x v="14"/>
    <x v="4"/>
    <n v="4"/>
    <n v="159000"/>
    <n v="636000"/>
    <x v="2"/>
    <s v="Ít đá"/>
  </r>
  <r>
    <s v="QB-240053"/>
    <x v="39"/>
    <s v="Võ Văn Phúc"/>
    <x v="1"/>
    <x v="2"/>
    <x v="1"/>
    <n v="2"/>
    <n v="129000"/>
    <n v="258000"/>
    <x v="0"/>
    <m/>
  </r>
  <r>
    <s v="QB-240054"/>
    <x v="40"/>
    <s v="Nguyễn Minh Anh"/>
    <x v="0"/>
    <x v="4"/>
    <x v="2"/>
    <n v="5"/>
    <n v="25000"/>
    <n v="125000"/>
    <x v="0"/>
    <s v="Khách VIP"/>
  </r>
  <r>
    <s v="QB-240055"/>
    <x v="40"/>
    <s v="Nguyễn Minh Anh"/>
    <x v="0"/>
    <x v="4"/>
    <x v="2"/>
    <n v="4"/>
    <n v="25000"/>
    <n v="100000"/>
    <x v="2"/>
    <s v="Ít đá"/>
  </r>
  <r>
    <s v="QB-240056"/>
    <x v="41"/>
    <s v="Nguyễn Minh Anh"/>
    <x v="0"/>
    <x v="12"/>
    <x v="1"/>
    <n v="1"/>
    <n v="79000"/>
    <n v="79000"/>
    <x v="0"/>
    <m/>
  </r>
  <r>
    <s v="QB-240057"/>
    <x v="42"/>
    <s v="Nguyễn Minh Anh"/>
    <x v="0"/>
    <x v="7"/>
    <x v="2"/>
    <n v="2"/>
    <n v="35000"/>
    <n v="70000"/>
    <x v="1"/>
    <m/>
  </r>
  <r>
    <s v="QB-240058"/>
    <x v="43"/>
    <s v="Trần Văn Bình"/>
    <x v="0"/>
    <x v="4"/>
    <x v="2"/>
    <n v="5"/>
    <n v="25000"/>
    <n v="125000"/>
    <x v="0"/>
    <s v="Thêm tương ớt"/>
  </r>
  <r>
    <s v="QB-240059"/>
    <x v="44"/>
    <s v="Phạm Hoàng Dũng"/>
    <x v="2"/>
    <x v="7"/>
    <x v="2"/>
    <n v="5"/>
    <n v="35000"/>
    <n v="175000"/>
    <x v="2"/>
    <s v="Ít đá"/>
  </r>
  <r>
    <s v="QB-240060"/>
    <x v="45"/>
    <s v="Lê Thị Cẩm"/>
    <x v="2"/>
    <x v="8"/>
    <x v="4"/>
    <n v="3"/>
    <n v="189000"/>
    <n v="567000"/>
    <x v="0"/>
    <m/>
  </r>
  <r>
    <s v="QB-240061"/>
    <x v="45"/>
    <s v="Trần Văn Bình"/>
    <x v="0"/>
    <x v="7"/>
    <x v="2"/>
    <n v="3"/>
    <n v="35000"/>
    <n v="105000"/>
    <x v="1"/>
    <s v="Khách VIP"/>
  </r>
  <r>
    <s v="QB-240062"/>
    <x v="46"/>
    <s v="Nguyễn Minh Anh"/>
    <x v="0"/>
    <x v="2"/>
    <x v="1"/>
    <n v="5"/>
    <n v="129000"/>
    <n v="645000"/>
    <x v="2"/>
    <m/>
  </r>
  <r>
    <s v="QB-240063"/>
    <x v="47"/>
    <s v="Hoàng Thị Em"/>
    <x v="1"/>
    <x v="8"/>
    <x v="4"/>
    <n v="5"/>
    <n v="189000"/>
    <n v="945000"/>
    <x v="1"/>
    <m/>
  </r>
  <r>
    <s v="QB-240064"/>
    <x v="48"/>
    <s v="Nguyễn Minh Anh"/>
    <x v="0"/>
    <x v="5"/>
    <x v="3"/>
    <n v="2"/>
    <n v="25000"/>
    <n v="50000"/>
    <x v="1"/>
    <m/>
  </r>
  <r>
    <s v="QB-240065"/>
    <x v="49"/>
    <s v="Phạm Hoàng Dũng"/>
    <x v="2"/>
    <x v="10"/>
    <x v="3"/>
    <n v="5"/>
    <n v="18000"/>
    <n v="90000"/>
    <x v="2"/>
    <m/>
  </r>
  <r>
    <s v="QB-240066"/>
    <x v="50"/>
    <s v="Võ Văn Phúc"/>
    <x v="1"/>
    <x v="12"/>
    <x v="1"/>
    <n v="1"/>
    <n v="79000"/>
    <n v="79000"/>
    <x v="2"/>
    <s v="Ít đá"/>
  </r>
  <r>
    <s v="QB-240067"/>
    <x v="51"/>
    <s v="Võ Văn Phúc"/>
    <x v="1"/>
    <x v="1"/>
    <x v="0"/>
    <n v="2"/>
    <n v="45000"/>
    <n v="90000"/>
    <x v="1"/>
    <m/>
  </r>
  <r>
    <s v="QB-240068"/>
    <x v="52"/>
    <s v="Võ Văn Phúc"/>
    <x v="1"/>
    <x v="12"/>
    <x v="1"/>
    <n v="2"/>
    <n v="79000"/>
    <n v="158000"/>
    <x v="1"/>
    <m/>
  </r>
  <r>
    <s v="QB-240069"/>
    <x v="52"/>
    <s v="Trần Văn Bình"/>
    <x v="0"/>
    <x v="9"/>
    <x v="2"/>
    <n v="3"/>
    <n v="39000"/>
    <n v="117000"/>
    <x v="0"/>
    <m/>
  </r>
  <r>
    <s v="QB-240070"/>
    <x v="53"/>
    <s v="Phạm Hoàng Dũng"/>
    <x v="2"/>
    <x v="14"/>
    <x v="4"/>
    <n v="1"/>
    <n v="159000"/>
    <n v="159000"/>
    <x v="0"/>
    <s v="Giao gấp"/>
  </r>
  <r>
    <s v="QB-240071"/>
    <x v="54"/>
    <s v="Nguyễn Minh Anh"/>
    <x v="0"/>
    <x v="0"/>
    <x v="0"/>
    <n v="3"/>
    <n v="55000"/>
    <n v="165000"/>
    <x v="0"/>
    <m/>
  </r>
  <r>
    <s v="QB-240072"/>
    <x v="55"/>
    <s v="Võ Văn Phúc"/>
    <x v="1"/>
    <x v="2"/>
    <x v="1"/>
    <n v="5"/>
    <n v="129000"/>
    <n v="645000"/>
    <x v="2"/>
    <s v="Giao gấp"/>
  </r>
  <r>
    <s v="QB-240073"/>
    <x v="55"/>
    <s v="Nguyễn Minh Anh"/>
    <x v="0"/>
    <x v="1"/>
    <x v="0"/>
    <n v="1"/>
    <n v="45000"/>
    <n v="45000"/>
    <x v="2"/>
    <m/>
  </r>
  <r>
    <s v="QB-240074"/>
    <x v="56"/>
    <s v="Nguyễn Minh Anh"/>
    <x v="0"/>
    <x v="10"/>
    <x v="3"/>
    <n v="3"/>
    <n v="18000"/>
    <n v="54000"/>
    <x v="2"/>
    <s v="Ít đá"/>
  </r>
  <r>
    <s v="QB-240075"/>
    <x v="57"/>
    <s v="Phạm Hoàng Dũng"/>
    <x v="2"/>
    <x v="11"/>
    <x v="0"/>
    <n v="1"/>
    <n v="65000"/>
    <n v="65000"/>
    <x v="1"/>
    <s v="Khách VIP"/>
  </r>
  <r>
    <s v="QB-240076"/>
    <x v="58"/>
    <s v="Lê Thị Cẩm"/>
    <x v="2"/>
    <x v="8"/>
    <x v="4"/>
    <n v="2"/>
    <n v="189000"/>
    <n v="378000"/>
    <x v="2"/>
    <m/>
  </r>
  <r>
    <s v="QB-240077"/>
    <x v="58"/>
    <s v="Hoàng Thị Em"/>
    <x v="1"/>
    <x v="5"/>
    <x v="3"/>
    <n v="4"/>
    <n v="25000"/>
    <n v="100000"/>
    <x v="2"/>
    <m/>
  </r>
  <r>
    <s v="QB-240078"/>
    <x v="59"/>
    <s v="Trần Văn Bình"/>
    <x v="0"/>
    <x v="13"/>
    <x v="3"/>
    <n v="2"/>
    <n v="18000"/>
    <n v="36000"/>
    <x v="1"/>
    <m/>
  </r>
  <r>
    <s v="QB-240079"/>
    <x v="60"/>
    <s v="Võ Văn Phúc"/>
    <x v="1"/>
    <x v="5"/>
    <x v="3"/>
    <n v="3"/>
    <n v="25000"/>
    <n v="75000"/>
    <x v="1"/>
    <m/>
  </r>
  <r>
    <s v="QB-240080"/>
    <x v="61"/>
    <s v="Trần Văn Bình"/>
    <x v="0"/>
    <x v="13"/>
    <x v="3"/>
    <n v="1"/>
    <n v="18000"/>
    <n v="18000"/>
    <x v="1"/>
    <m/>
  </r>
  <r>
    <s v="QB-240081"/>
    <x v="61"/>
    <s v="Trần Văn Bình"/>
    <x v="0"/>
    <x v="8"/>
    <x v="4"/>
    <n v="4"/>
    <n v="189000"/>
    <n v="756000"/>
    <x v="1"/>
    <m/>
  </r>
  <r>
    <s v="QB-240082"/>
    <x v="62"/>
    <s v="Trần Văn Bình"/>
    <x v="0"/>
    <x v="0"/>
    <x v="0"/>
    <n v="2"/>
    <n v="55000"/>
    <n v="110000"/>
    <x v="1"/>
    <s v="Khách VIP"/>
  </r>
  <r>
    <s v="QB-240083"/>
    <x v="63"/>
    <s v="Nguyễn Minh Anh"/>
    <x v="0"/>
    <x v="13"/>
    <x v="3"/>
    <n v="3"/>
    <n v="18000"/>
    <n v="54000"/>
    <x v="1"/>
    <s v="Ít đá"/>
  </r>
  <r>
    <s v="QB-240084"/>
    <x v="64"/>
    <s v="Võ Văn Phúc"/>
    <x v="1"/>
    <x v="10"/>
    <x v="3"/>
    <n v="5"/>
    <n v="18000"/>
    <n v="90000"/>
    <x v="1"/>
    <m/>
  </r>
  <r>
    <s v="QB-240085"/>
    <x v="65"/>
    <s v="Lê Thị Cẩm"/>
    <x v="2"/>
    <x v="11"/>
    <x v="0"/>
    <n v="5"/>
    <n v="65000"/>
    <n v="325000"/>
    <x v="1"/>
    <m/>
  </r>
  <r>
    <s v="QB-240086"/>
    <x v="65"/>
    <s v="Hoàng Thị Em"/>
    <x v="1"/>
    <x v="3"/>
    <x v="1"/>
    <n v="3"/>
    <n v="59000"/>
    <n v="177000"/>
    <x v="2"/>
    <s v="Khách VIP"/>
  </r>
  <r>
    <s v="QB-240087"/>
    <x v="65"/>
    <s v="Hoàng Thị Em"/>
    <x v="1"/>
    <x v="12"/>
    <x v="1"/>
    <n v="1"/>
    <n v="79000"/>
    <n v="79000"/>
    <x v="1"/>
    <s v="Thêm tương ớt"/>
  </r>
  <r>
    <s v="QB-240088"/>
    <x v="66"/>
    <s v="Lê Thị Cẩm"/>
    <x v="2"/>
    <x v="0"/>
    <x v="0"/>
    <n v="4"/>
    <n v="55000"/>
    <n v="220000"/>
    <x v="0"/>
    <s v="Ít đá"/>
  </r>
  <r>
    <s v="QB-240089"/>
    <x v="67"/>
    <s v="Võ Văn Phúc"/>
    <x v="1"/>
    <x v="9"/>
    <x v="2"/>
    <n v="2"/>
    <n v="39000"/>
    <n v="78000"/>
    <x v="1"/>
    <s v="Giao gấp"/>
  </r>
  <r>
    <s v="QB-240090"/>
    <x v="68"/>
    <s v="Võ Văn Phúc"/>
    <x v="1"/>
    <x v="5"/>
    <x v="3"/>
    <n v="3"/>
    <n v="25000"/>
    <n v="75000"/>
    <x v="2"/>
    <s v="Khách VIP"/>
  </r>
  <r>
    <s v="QB-240091"/>
    <x v="68"/>
    <s v="Nguyễn Minh Anh"/>
    <x v="0"/>
    <x v="9"/>
    <x v="2"/>
    <n v="3"/>
    <n v="39000"/>
    <n v="117000"/>
    <x v="2"/>
    <m/>
  </r>
  <r>
    <s v="QB-240092"/>
    <x v="69"/>
    <s v="Phạm Hoàng Dũng"/>
    <x v="2"/>
    <x v="6"/>
    <x v="4"/>
    <n v="4"/>
    <n v="129000"/>
    <n v="516000"/>
    <x v="2"/>
    <m/>
  </r>
  <r>
    <s v="QB-240093"/>
    <x v="70"/>
    <s v="Trần Văn Bình"/>
    <x v="0"/>
    <x v="8"/>
    <x v="4"/>
    <n v="4"/>
    <n v="189000"/>
    <n v="756000"/>
    <x v="2"/>
    <s v="Giao gấp"/>
  </r>
  <r>
    <s v="QB-240094"/>
    <x v="71"/>
    <s v="Võ Văn Phúc"/>
    <x v="1"/>
    <x v="5"/>
    <x v="3"/>
    <n v="2"/>
    <n v="25000"/>
    <n v="50000"/>
    <x v="2"/>
    <s v="Thêm tương ớt"/>
  </r>
  <r>
    <s v="QB-240095"/>
    <x v="72"/>
    <s v="Phạm Hoàng Dũng"/>
    <x v="2"/>
    <x v="12"/>
    <x v="1"/>
    <n v="1"/>
    <n v="79000"/>
    <n v="79000"/>
    <x v="1"/>
    <m/>
  </r>
  <r>
    <s v="QB-240096"/>
    <x v="73"/>
    <s v="Phạm Hoàng Dũng"/>
    <x v="2"/>
    <x v="13"/>
    <x v="3"/>
    <n v="5"/>
    <n v="18000"/>
    <n v="90000"/>
    <x v="2"/>
    <s v="Khách VIP"/>
  </r>
  <r>
    <s v="QB-240097"/>
    <x v="73"/>
    <s v="Phạm Hoàng Dũng"/>
    <x v="2"/>
    <x v="2"/>
    <x v="1"/>
    <n v="2"/>
    <n v="129000"/>
    <n v="258000"/>
    <x v="2"/>
    <s v="Không hành"/>
  </r>
  <r>
    <s v="QB-240098"/>
    <x v="74"/>
    <s v="Võ Văn Phúc"/>
    <x v="1"/>
    <x v="1"/>
    <x v="0"/>
    <n v="3"/>
    <n v="45000"/>
    <n v="135000"/>
    <x v="2"/>
    <s v="Thêm tương ớt"/>
  </r>
  <r>
    <s v="QB-240099"/>
    <x v="75"/>
    <s v="Nguyễn Minh Anh"/>
    <x v="0"/>
    <x v="10"/>
    <x v="3"/>
    <n v="2"/>
    <n v="18000"/>
    <n v="36000"/>
    <x v="2"/>
    <m/>
  </r>
  <r>
    <s v="QB-240100"/>
    <x v="76"/>
    <s v="Trần Văn Bình"/>
    <x v="0"/>
    <x v="11"/>
    <x v="0"/>
    <n v="1"/>
    <n v="65000"/>
    <n v="65000"/>
    <x v="0"/>
    <m/>
  </r>
  <r>
    <s v="QB-240101"/>
    <x v="77"/>
    <s v="Hoàng Thị Em"/>
    <x v="1"/>
    <x v="10"/>
    <x v="3"/>
    <n v="1"/>
    <n v="18000"/>
    <n v="18000"/>
    <x v="1"/>
    <s v="Giao gấp"/>
  </r>
  <r>
    <s v="QB-240102"/>
    <x v="78"/>
    <s v="Hoàng Thị Em"/>
    <x v="1"/>
    <x v="8"/>
    <x v="4"/>
    <n v="4"/>
    <n v="189000"/>
    <n v="756000"/>
    <x v="1"/>
    <s v="Giao gấp"/>
  </r>
  <r>
    <s v="QB-240103"/>
    <x v="79"/>
    <s v="Trần Văn Bình"/>
    <x v="0"/>
    <x v="7"/>
    <x v="2"/>
    <n v="1"/>
    <n v="35000"/>
    <n v="35000"/>
    <x v="0"/>
    <s v="Giao gấp"/>
  </r>
  <r>
    <s v="QB-240104"/>
    <x v="80"/>
    <s v="Trần Văn Bình"/>
    <x v="0"/>
    <x v="13"/>
    <x v="3"/>
    <n v="5"/>
    <n v="18000"/>
    <n v="90000"/>
    <x v="1"/>
    <m/>
  </r>
  <r>
    <s v="QB-240105"/>
    <x v="81"/>
    <s v="Trần Văn Bình"/>
    <x v="0"/>
    <x v="5"/>
    <x v="3"/>
    <n v="1"/>
    <n v="25000"/>
    <n v="25000"/>
    <x v="1"/>
    <m/>
  </r>
  <r>
    <s v="QB-240106"/>
    <x v="6"/>
    <s v="Võ Văn Phúc"/>
    <x v="1"/>
    <x v="12"/>
    <x v="1"/>
    <n v="5"/>
    <n v="79000"/>
    <n v="395000"/>
    <x v="2"/>
    <s v="Khách VIP"/>
  </r>
  <r>
    <s v="QB-240107"/>
    <x v="30"/>
    <s v="Hoàng Thị Em"/>
    <x v="1"/>
    <x v="10"/>
    <x v="3"/>
    <n v="5"/>
    <n v="18000"/>
    <n v="90000"/>
    <x v="1"/>
    <s v="Ít đá"/>
  </r>
  <r>
    <s v="QB-240108"/>
    <x v="58"/>
    <s v="Trần Văn Bình"/>
    <x v="0"/>
    <x v="9"/>
    <x v="2"/>
    <n v="4"/>
    <n v="39000"/>
    <n v="156000"/>
    <x v="1"/>
    <m/>
  </r>
  <r>
    <s v="QB-240109"/>
    <x v="82"/>
    <s v="Võ Văn Phúc"/>
    <x v="1"/>
    <x v="14"/>
    <x v="4"/>
    <n v="5"/>
    <n v="159000"/>
    <n v="795000"/>
    <x v="1"/>
    <m/>
  </r>
  <r>
    <s v="QB-240110"/>
    <x v="83"/>
    <s v="Phạm Hoàng Dũng"/>
    <x v="2"/>
    <x v="1"/>
    <x v="0"/>
    <n v="3"/>
    <n v="45000"/>
    <n v="135000"/>
    <x v="0"/>
    <m/>
  </r>
  <r>
    <s v="QB-240111"/>
    <x v="84"/>
    <s v="Lê Thị Cẩm"/>
    <x v="2"/>
    <x v="5"/>
    <x v="3"/>
    <n v="5"/>
    <n v="25000"/>
    <n v="125000"/>
    <x v="0"/>
    <m/>
  </r>
  <r>
    <s v="QB-240112"/>
    <x v="85"/>
    <s v="Trần Văn Bình"/>
    <x v="0"/>
    <x v="3"/>
    <x v="1"/>
    <n v="2"/>
    <n v="59000"/>
    <n v="118000"/>
    <x v="2"/>
    <m/>
  </r>
  <r>
    <s v="QB-240113"/>
    <x v="85"/>
    <s v="Phạm Hoàng Dũng"/>
    <x v="2"/>
    <x v="3"/>
    <x v="1"/>
    <n v="3"/>
    <n v="59000"/>
    <n v="177000"/>
    <x v="2"/>
    <s v="Không hành"/>
  </r>
  <r>
    <s v="QB-240114"/>
    <x v="86"/>
    <s v="Nguyễn Minh Anh"/>
    <x v="0"/>
    <x v="8"/>
    <x v="4"/>
    <n v="4"/>
    <n v="189000"/>
    <n v="756000"/>
    <x v="1"/>
    <s v="Thêm tương ớt"/>
  </r>
  <r>
    <s v="QB-240115"/>
    <x v="87"/>
    <s v="Nguyễn Minh Anh"/>
    <x v="0"/>
    <x v="10"/>
    <x v="3"/>
    <n v="5"/>
    <n v="18000"/>
    <n v="90000"/>
    <x v="1"/>
    <s v="Không hành"/>
  </r>
  <r>
    <s v="QB-240116"/>
    <x v="88"/>
    <s v="Lê Thị Cẩm"/>
    <x v="2"/>
    <x v="14"/>
    <x v="4"/>
    <n v="4"/>
    <n v="159000"/>
    <n v="636000"/>
    <x v="1"/>
    <s v="Ít đá"/>
  </r>
  <r>
    <s v="QB-240117"/>
    <x v="89"/>
    <s v="Hoàng Thị Em"/>
    <x v="1"/>
    <x v="5"/>
    <x v="3"/>
    <n v="2"/>
    <n v="25000"/>
    <n v="50000"/>
    <x v="1"/>
    <m/>
  </r>
  <r>
    <s v="QB-240118"/>
    <x v="89"/>
    <s v="Phạm Hoàng Dũng"/>
    <x v="2"/>
    <x v="2"/>
    <x v="1"/>
    <n v="1"/>
    <n v="129000"/>
    <n v="129000"/>
    <x v="1"/>
    <s v="Khách VIP"/>
  </r>
  <r>
    <s v="QB-240119"/>
    <x v="90"/>
    <s v="Võ Văn Phúc"/>
    <x v="1"/>
    <x v="13"/>
    <x v="3"/>
    <n v="4"/>
    <n v="18000"/>
    <n v="72000"/>
    <x v="2"/>
    <m/>
  </r>
  <r>
    <s v="QB-240120"/>
    <x v="91"/>
    <s v="Trần Văn Bình"/>
    <x v="0"/>
    <x v="4"/>
    <x v="2"/>
    <n v="5"/>
    <n v="25000"/>
    <n v="125000"/>
    <x v="0"/>
    <s v="Giao gấp"/>
  </r>
  <r>
    <s v="QB-240121"/>
    <x v="92"/>
    <s v="Hoàng Thị Em"/>
    <x v="1"/>
    <x v="7"/>
    <x v="2"/>
    <n v="1"/>
    <n v="35000"/>
    <n v="35000"/>
    <x v="0"/>
    <s v="Giao gấp"/>
  </r>
  <r>
    <s v="QB-240122"/>
    <x v="92"/>
    <s v="Phạm Hoàng Dũng"/>
    <x v="2"/>
    <x v="11"/>
    <x v="0"/>
    <n v="1"/>
    <n v="65000"/>
    <n v="65000"/>
    <x v="1"/>
    <s v="Giao gấp"/>
  </r>
  <r>
    <s v="QB-240123"/>
    <x v="93"/>
    <s v="Trần Văn Bình"/>
    <x v="0"/>
    <x v="2"/>
    <x v="1"/>
    <n v="3"/>
    <n v="129000"/>
    <n v="387000"/>
    <x v="1"/>
    <s v="Giao gấp"/>
  </r>
  <r>
    <s v="QB-240124"/>
    <x v="94"/>
    <s v="Phạm Hoàng Dũng"/>
    <x v="2"/>
    <x v="14"/>
    <x v="4"/>
    <n v="1"/>
    <n v="159000"/>
    <n v="159000"/>
    <x v="1"/>
    <m/>
  </r>
  <r>
    <s v="QB-240125"/>
    <x v="95"/>
    <s v="Nguyễn Minh Anh"/>
    <x v="0"/>
    <x v="6"/>
    <x v="4"/>
    <n v="2"/>
    <n v="129000"/>
    <n v="258000"/>
    <x v="2"/>
    <m/>
  </r>
  <r>
    <s v="QB-240126"/>
    <x v="96"/>
    <s v="Nguyễn Minh Anh"/>
    <x v="0"/>
    <x v="13"/>
    <x v="3"/>
    <n v="1"/>
    <n v="18000"/>
    <n v="18000"/>
    <x v="0"/>
    <m/>
  </r>
  <r>
    <s v="QB-240127"/>
    <x v="97"/>
    <s v="Hoàng Thị Em"/>
    <x v="1"/>
    <x v="11"/>
    <x v="0"/>
    <n v="2"/>
    <n v="65000"/>
    <n v="130000"/>
    <x v="0"/>
    <s v="Không hành"/>
  </r>
  <r>
    <s v="QB-240128"/>
    <x v="97"/>
    <s v="Nguyễn Minh Anh"/>
    <x v="0"/>
    <x v="4"/>
    <x v="2"/>
    <n v="2"/>
    <n v="25000"/>
    <n v="50000"/>
    <x v="1"/>
    <m/>
  </r>
  <r>
    <s v="QB-240129"/>
    <x v="98"/>
    <s v="Trần Văn Bình"/>
    <x v="0"/>
    <x v="4"/>
    <x v="2"/>
    <n v="5"/>
    <n v="25000"/>
    <n v="125000"/>
    <x v="2"/>
    <m/>
  </r>
  <r>
    <s v="QB-240130"/>
    <x v="99"/>
    <s v="Lê Thị Cẩm"/>
    <x v="2"/>
    <x v="1"/>
    <x v="0"/>
    <n v="5"/>
    <n v="45000"/>
    <n v="225000"/>
    <x v="0"/>
    <m/>
  </r>
  <r>
    <s v="QB-240131"/>
    <x v="100"/>
    <s v="Võ Văn Phúc"/>
    <x v="1"/>
    <x v="5"/>
    <x v="3"/>
    <n v="4"/>
    <n v="25000"/>
    <n v="100000"/>
    <x v="1"/>
    <m/>
  </r>
  <r>
    <s v="QB-240132"/>
    <x v="101"/>
    <s v="Hoàng Thị Em"/>
    <x v="1"/>
    <x v="9"/>
    <x v="2"/>
    <n v="2"/>
    <n v="39000"/>
    <n v="78000"/>
    <x v="0"/>
    <m/>
  </r>
  <r>
    <s v="QB-240133"/>
    <x v="102"/>
    <s v="Hoàng Thị Em"/>
    <x v="1"/>
    <x v="13"/>
    <x v="3"/>
    <n v="1"/>
    <n v="18000"/>
    <n v="18000"/>
    <x v="2"/>
    <m/>
  </r>
  <r>
    <s v="QB-240134"/>
    <x v="103"/>
    <s v="Hoàng Thị Em"/>
    <x v="1"/>
    <x v="3"/>
    <x v="1"/>
    <n v="3"/>
    <n v="59000"/>
    <n v="177000"/>
    <x v="0"/>
    <s v="Ít đá"/>
  </r>
  <r>
    <s v="QB-240135"/>
    <x v="104"/>
    <s v="Lê Thị Cẩm"/>
    <x v="2"/>
    <x v="0"/>
    <x v="0"/>
    <n v="4"/>
    <n v="55000"/>
    <n v="220000"/>
    <x v="1"/>
    <m/>
  </r>
  <r>
    <s v="QB-240136"/>
    <x v="105"/>
    <s v="Lê Thị Cẩm"/>
    <x v="2"/>
    <x v="7"/>
    <x v="2"/>
    <n v="4"/>
    <n v="35000"/>
    <n v="140000"/>
    <x v="2"/>
    <m/>
  </r>
  <r>
    <s v="QB-240137"/>
    <x v="106"/>
    <s v="Trần Văn Bình"/>
    <x v="0"/>
    <x v="9"/>
    <x v="2"/>
    <n v="5"/>
    <n v="39000"/>
    <n v="195000"/>
    <x v="2"/>
    <m/>
  </r>
  <r>
    <s v="QB-240138"/>
    <x v="107"/>
    <s v="Hoàng Thị Em"/>
    <x v="1"/>
    <x v="13"/>
    <x v="3"/>
    <n v="4"/>
    <n v="18000"/>
    <n v="72000"/>
    <x v="1"/>
    <s v="Giao gấp"/>
  </r>
  <r>
    <s v="QB-240139"/>
    <x v="108"/>
    <s v="Lê Thị Cẩm"/>
    <x v="2"/>
    <x v="6"/>
    <x v="4"/>
    <n v="2"/>
    <n v="129000"/>
    <n v="258000"/>
    <x v="0"/>
    <m/>
  </r>
  <r>
    <s v="QB-240140"/>
    <x v="109"/>
    <s v="Trần Văn Bình"/>
    <x v="0"/>
    <x v="13"/>
    <x v="3"/>
    <n v="4"/>
    <n v="18000"/>
    <n v="72000"/>
    <x v="2"/>
    <s v="Thêm tương ớt"/>
  </r>
  <r>
    <s v="QB-240141"/>
    <x v="110"/>
    <s v="Phạm Hoàng Dũng"/>
    <x v="2"/>
    <x v="6"/>
    <x v="4"/>
    <n v="1"/>
    <n v="129000"/>
    <n v="129000"/>
    <x v="1"/>
    <s v="Khách VIP"/>
  </r>
  <r>
    <s v="QB-240142"/>
    <x v="111"/>
    <s v="Phạm Hoàng Dũng"/>
    <x v="2"/>
    <x v="8"/>
    <x v="4"/>
    <n v="3"/>
    <n v="189000"/>
    <n v="567000"/>
    <x v="1"/>
    <s v="Khách VIP"/>
  </r>
  <r>
    <s v="QB-240143"/>
    <x v="112"/>
    <s v="Hoàng Thị Em"/>
    <x v="1"/>
    <x v="9"/>
    <x v="2"/>
    <n v="3"/>
    <n v="39000"/>
    <n v="117000"/>
    <x v="2"/>
    <m/>
  </r>
  <r>
    <s v="QB-240144"/>
    <x v="113"/>
    <s v="Trần Văn Bình"/>
    <x v="0"/>
    <x v="1"/>
    <x v="0"/>
    <n v="2"/>
    <n v="45000"/>
    <n v="90000"/>
    <x v="2"/>
    <s v="Giao gấp"/>
  </r>
  <r>
    <s v="QB-240145"/>
    <x v="114"/>
    <s v="Hoàng Thị Em"/>
    <x v="1"/>
    <x v="13"/>
    <x v="3"/>
    <n v="2"/>
    <n v="18000"/>
    <n v="36000"/>
    <x v="2"/>
    <s v="Không hành"/>
  </r>
  <r>
    <s v="QB-240146"/>
    <x v="115"/>
    <s v="Võ Văn Phúc"/>
    <x v="1"/>
    <x v="2"/>
    <x v="1"/>
    <n v="4"/>
    <n v="129000"/>
    <n v="516000"/>
    <x v="0"/>
    <m/>
  </r>
  <r>
    <s v="QB-240147"/>
    <x v="116"/>
    <s v="Trần Văn Bình"/>
    <x v="0"/>
    <x v="3"/>
    <x v="1"/>
    <n v="2"/>
    <n v="59000"/>
    <n v="118000"/>
    <x v="1"/>
    <s v="Thêm tương ớt"/>
  </r>
  <r>
    <s v="QB-240148"/>
    <x v="117"/>
    <s v="Phạm Hoàng Dũng"/>
    <x v="2"/>
    <x v="12"/>
    <x v="1"/>
    <n v="5"/>
    <n v="79000"/>
    <n v="395000"/>
    <x v="1"/>
    <s v="Giao gấp"/>
  </r>
  <r>
    <s v="QB-240149"/>
    <x v="118"/>
    <s v="Lê Thị Cẩm"/>
    <x v="2"/>
    <x v="6"/>
    <x v="4"/>
    <n v="4"/>
    <n v="129000"/>
    <n v="516000"/>
    <x v="1"/>
    <m/>
  </r>
  <r>
    <s v="QB-240150"/>
    <x v="119"/>
    <s v="Trần Văn Bình"/>
    <x v="0"/>
    <x v="1"/>
    <x v="0"/>
    <n v="2"/>
    <n v="45000"/>
    <n v="9000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4A002-787C-4751-9F2A-0E2831E79CED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9:B43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numFmtId="3" showAll="0"/>
    <pivotField dataField="1" numFmtId="3" showAll="0"/>
    <pivotField axis="axisRow" showAll="0">
      <items count="4">
        <item x="1"/>
        <item x="2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hành tiền" fld="8" showDataAs="percentOfCol" baseField="9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4F928-6ACC-46CF-8604-7A5876EE994D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1:B27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showAll="0"/>
    <pivotField axis="axisRow" showAll="0" measureFilter="1" sortType="ascending">
      <items count="16">
        <item x="0"/>
        <item x="1"/>
        <item x="11"/>
        <item x="12"/>
        <item x="13"/>
        <item x="3"/>
        <item x="2"/>
        <item x="7"/>
        <item x="4"/>
        <item x="10"/>
        <item x="8"/>
        <item x="14"/>
        <item x="6"/>
        <item x="9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dataField="1" numFmtId="3"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6">
    <i>
      <x v="3"/>
    </i>
    <i>
      <x v="11"/>
    </i>
    <i>
      <x v="12"/>
    </i>
    <i>
      <x v="6"/>
    </i>
    <i>
      <x v="10"/>
    </i>
    <i t="grand">
      <x/>
    </i>
  </rowItems>
  <colItems count="1">
    <i/>
  </colItems>
  <dataFields count="1">
    <dataField name="Sum of Thành tiền" fld="8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10552-3A4F-4195-9578-3C578A76DE4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19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3" showAll="0"/>
    <pivotField dataField="1" numFmtId="3"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hành tiền" fld="8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44680-BB8B-48CD-A389-D7D9D42D6E3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B13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numFmtId="3" showAll="0"/>
    <pivotField dataField="1" numFmtId="3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1"/>
  </rowFields>
  <rowItems count="7">
    <i>
      <x v="1"/>
    </i>
    <i>
      <x v="2"/>
    </i>
    <i>
      <x v="3"/>
    </i>
    <i>
      <x v="4"/>
    </i>
    <i>
      <x v="6"/>
    </i>
    <i>
      <x v="7"/>
    </i>
    <i t="grand">
      <x/>
    </i>
  </rowItems>
  <colItems count="1">
    <i/>
  </colItems>
  <dataFields count="1">
    <dataField name="Sum of Thành tiền" fld="8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1B823-B841-4E09-8B43-BB0579632A96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numFmtId="3" showAll="0"/>
    <pivotField dataField="1" numFmtId="3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Sum of Thành tiền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D070-4EB2-4D53-8469-F7AC0A14D155}">
  <dimension ref="A1:E6"/>
  <sheetViews>
    <sheetView workbookViewId="0">
      <selection activeCell="D13" sqref="D13"/>
    </sheetView>
  </sheetViews>
  <sheetFormatPr defaultRowHeight="14.4" x14ac:dyDescent="0.3"/>
  <cols>
    <col min="2" max="2" width="21.21875" customWidth="1"/>
    <col min="3" max="3" width="29" customWidth="1"/>
    <col min="4" max="4" width="30.21875" customWidth="1"/>
    <col min="5" max="5" width="41.44140625" customWidth="1"/>
  </cols>
  <sheetData>
    <row r="1" spans="1:5" ht="15" thickBot="1" x14ac:dyDescent="0.35">
      <c r="A1" s="15" t="s">
        <v>208</v>
      </c>
      <c r="B1" s="15" t="s">
        <v>209</v>
      </c>
      <c r="C1" s="15" t="s">
        <v>210</v>
      </c>
      <c r="D1" s="15" t="s">
        <v>211</v>
      </c>
      <c r="E1" s="15" t="s">
        <v>212</v>
      </c>
    </row>
    <row r="2" spans="1:5" ht="28.2" thickBot="1" x14ac:dyDescent="0.35">
      <c r="A2" s="16">
        <v>1</v>
      </c>
      <c r="B2" s="16" t="s">
        <v>213</v>
      </c>
      <c r="C2" s="16" t="s">
        <v>214</v>
      </c>
      <c r="D2" s="16" t="s">
        <v>215</v>
      </c>
      <c r="E2" s="16" t="s">
        <v>216</v>
      </c>
    </row>
    <row r="3" spans="1:5" ht="28.2" thickBot="1" x14ac:dyDescent="0.35">
      <c r="A3" s="16">
        <v>2</v>
      </c>
      <c r="B3" s="16" t="s">
        <v>217</v>
      </c>
      <c r="C3" s="16" t="s">
        <v>218</v>
      </c>
      <c r="D3" s="16" t="s">
        <v>219</v>
      </c>
      <c r="E3" s="16" t="s">
        <v>220</v>
      </c>
    </row>
    <row r="4" spans="1:5" ht="15" thickBot="1" x14ac:dyDescent="0.35">
      <c r="A4" s="16">
        <v>3</v>
      </c>
      <c r="B4" s="16" t="s">
        <v>221</v>
      </c>
      <c r="C4" s="16" t="s">
        <v>222</v>
      </c>
      <c r="D4" s="16" t="s">
        <v>223</v>
      </c>
      <c r="E4" s="16" t="s">
        <v>224</v>
      </c>
    </row>
    <row r="5" spans="1:5" ht="15" thickBot="1" x14ac:dyDescent="0.35">
      <c r="A5" s="16">
        <v>4</v>
      </c>
      <c r="B5" s="16" t="s">
        <v>225</v>
      </c>
      <c r="C5" s="16" t="s">
        <v>226</v>
      </c>
      <c r="D5" s="16" t="s">
        <v>223</v>
      </c>
      <c r="E5" s="16" t="s">
        <v>227</v>
      </c>
    </row>
    <row r="6" spans="1:5" ht="15" thickBot="1" x14ac:dyDescent="0.35">
      <c r="A6" s="16">
        <v>5</v>
      </c>
      <c r="B6" s="16" t="s">
        <v>228</v>
      </c>
      <c r="C6" s="16" t="s">
        <v>229</v>
      </c>
      <c r="D6" s="16" t="s">
        <v>215</v>
      </c>
      <c r="E6" s="16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E836-5801-4E5D-9C52-0749B8F0E4CE}">
  <dimension ref="A3:B43"/>
  <sheetViews>
    <sheetView showGridLines="0" topLeftCell="A2" zoomScale="84" workbookViewId="0">
      <selection activeCell="Y10" sqref="Y10"/>
    </sheetView>
  </sheetViews>
  <sheetFormatPr defaultRowHeight="14.4" x14ac:dyDescent="0.3"/>
  <cols>
    <col min="1" max="1" width="17.6640625" bestFit="1" customWidth="1"/>
    <col min="2" max="2" width="16.5546875" bestFit="1" customWidth="1"/>
  </cols>
  <sheetData>
    <row r="3" spans="1:2" x14ac:dyDescent="0.3">
      <c r="A3" t="s">
        <v>199</v>
      </c>
    </row>
    <row r="4" spans="1:2" x14ac:dyDescent="0.3">
      <c r="A4" s="11">
        <v>31701000</v>
      </c>
    </row>
    <row r="6" spans="1:2" x14ac:dyDescent="0.3">
      <c r="A6" s="12" t="s">
        <v>200</v>
      </c>
      <c r="B6" t="s">
        <v>199</v>
      </c>
    </row>
    <row r="7" spans="1:2" x14ac:dyDescent="0.3">
      <c r="A7" s="13" t="s">
        <v>202</v>
      </c>
      <c r="B7" s="11">
        <v>6868000</v>
      </c>
    </row>
    <row r="8" spans="1:2" x14ac:dyDescent="0.3">
      <c r="A8" s="13" t="s">
        <v>203</v>
      </c>
      <c r="B8" s="11">
        <v>9018000</v>
      </c>
    </row>
    <row r="9" spans="1:2" x14ac:dyDescent="0.3">
      <c r="A9" s="13" t="s">
        <v>204</v>
      </c>
      <c r="B9" s="11">
        <v>7101000</v>
      </c>
    </row>
    <row r="10" spans="1:2" x14ac:dyDescent="0.3">
      <c r="A10" s="13" t="s">
        <v>205</v>
      </c>
      <c r="B10" s="11">
        <v>5253000</v>
      </c>
    </row>
    <row r="11" spans="1:2" x14ac:dyDescent="0.3">
      <c r="A11" s="13" t="s">
        <v>206</v>
      </c>
      <c r="B11" s="11">
        <v>3311000</v>
      </c>
    </row>
    <row r="12" spans="1:2" x14ac:dyDescent="0.3">
      <c r="A12" s="13" t="s">
        <v>207</v>
      </c>
      <c r="B12" s="11">
        <v>150000</v>
      </c>
    </row>
    <row r="13" spans="1:2" x14ac:dyDescent="0.3">
      <c r="A13" s="13" t="s">
        <v>201</v>
      </c>
      <c r="B13" s="11">
        <v>31701000</v>
      </c>
    </row>
    <row r="15" spans="1:2" x14ac:dyDescent="0.3">
      <c r="A15" s="12" t="s">
        <v>200</v>
      </c>
      <c r="B15" t="s">
        <v>199</v>
      </c>
    </row>
    <row r="16" spans="1:2" x14ac:dyDescent="0.3">
      <c r="A16" s="13" t="s">
        <v>19</v>
      </c>
      <c r="B16" s="11">
        <v>9573000</v>
      </c>
    </row>
    <row r="17" spans="1:2" x14ac:dyDescent="0.3">
      <c r="A17" s="13" t="s">
        <v>13</v>
      </c>
      <c r="B17" s="11">
        <v>10599000</v>
      </c>
    </row>
    <row r="18" spans="1:2" x14ac:dyDescent="0.3">
      <c r="A18" s="13" t="s">
        <v>35</v>
      </c>
      <c r="B18" s="11">
        <v>11529000</v>
      </c>
    </row>
    <row r="19" spans="1:2" x14ac:dyDescent="0.3">
      <c r="A19" s="13" t="s">
        <v>201</v>
      </c>
      <c r="B19" s="11">
        <v>31701000</v>
      </c>
    </row>
    <row r="21" spans="1:2" x14ac:dyDescent="0.3">
      <c r="A21" s="12" t="s">
        <v>200</v>
      </c>
      <c r="B21" t="s">
        <v>199</v>
      </c>
    </row>
    <row r="22" spans="1:2" x14ac:dyDescent="0.3">
      <c r="A22" s="13" t="s">
        <v>70</v>
      </c>
      <c r="B22" s="11">
        <v>1975000</v>
      </c>
    </row>
    <row r="23" spans="1:2" x14ac:dyDescent="0.3">
      <c r="A23" s="13" t="s">
        <v>99</v>
      </c>
      <c r="B23" s="11">
        <v>2385000</v>
      </c>
    </row>
    <row r="24" spans="1:2" x14ac:dyDescent="0.3">
      <c r="A24" s="13" t="s">
        <v>49</v>
      </c>
      <c r="B24" s="11">
        <v>2451000</v>
      </c>
    </row>
    <row r="25" spans="1:2" x14ac:dyDescent="0.3">
      <c r="A25" s="13" t="s">
        <v>28</v>
      </c>
      <c r="B25" s="11">
        <v>4257000</v>
      </c>
    </row>
    <row r="26" spans="1:2" x14ac:dyDescent="0.3">
      <c r="A26" s="13" t="s">
        <v>54</v>
      </c>
      <c r="B26" s="11">
        <v>9450000</v>
      </c>
    </row>
    <row r="27" spans="1:2" x14ac:dyDescent="0.3">
      <c r="A27" s="13" t="s">
        <v>201</v>
      </c>
      <c r="B27" s="11">
        <v>20518000</v>
      </c>
    </row>
    <row r="39" spans="1:2" x14ac:dyDescent="0.3">
      <c r="A39" s="12" t="s">
        <v>200</v>
      </c>
      <c r="B39" t="s">
        <v>199</v>
      </c>
    </row>
    <row r="40" spans="1:2" x14ac:dyDescent="0.3">
      <c r="A40" s="13" t="s">
        <v>30</v>
      </c>
      <c r="B40" s="14">
        <v>0.4126683700829627</v>
      </c>
    </row>
    <row r="41" spans="1:2" x14ac:dyDescent="0.3">
      <c r="A41" s="13" t="s">
        <v>44</v>
      </c>
      <c r="B41" s="14">
        <v>0.31860193684741805</v>
      </c>
    </row>
    <row r="42" spans="1:2" x14ac:dyDescent="0.3">
      <c r="A42" s="13" t="s">
        <v>16</v>
      </c>
      <c r="B42" s="14">
        <v>0.26872969306961925</v>
      </c>
    </row>
    <row r="43" spans="1:2" x14ac:dyDescent="0.3">
      <c r="A43" s="13" t="s">
        <v>201</v>
      </c>
      <c r="B43" s="14">
        <v>1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AC68-B1C9-4B91-969D-DE16C034FB48}">
  <dimension ref="A1:C6"/>
  <sheetViews>
    <sheetView tabSelected="1" workbookViewId="0">
      <selection activeCell="C17" sqref="C17"/>
    </sheetView>
  </sheetViews>
  <sheetFormatPr defaultRowHeight="14.4" x14ac:dyDescent="0.3"/>
  <cols>
    <col min="1" max="1" width="20.77734375" customWidth="1"/>
    <col min="2" max="2" width="18.21875" customWidth="1"/>
    <col min="3" max="3" width="30.77734375" customWidth="1"/>
  </cols>
  <sheetData>
    <row r="1" spans="1:3" ht="15" thickBot="1" x14ac:dyDescent="0.35">
      <c r="A1" s="15" t="s">
        <v>231</v>
      </c>
      <c r="B1" s="15" t="s">
        <v>232</v>
      </c>
      <c r="C1" s="15" t="s">
        <v>233</v>
      </c>
    </row>
    <row r="2" spans="1:3" ht="55.8" thickBot="1" x14ac:dyDescent="0.35">
      <c r="A2" s="15" t="s">
        <v>234</v>
      </c>
      <c r="B2" s="16" t="s">
        <v>235</v>
      </c>
      <c r="C2" s="16" t="s">
        <v>236</v>
      </c>
    </row>
    <row r="3" spans="1:3" ht="42" thickBot="1" x14ac:dyDescent="0.35">
      <c r="A3" s="15" t="s">
        <v>237</v>
      </c>
      <c r="B3" s="16" t="s">
        <v>246</v>
      </c>
      <c r="C3" s="16" t="s">
        <v>238</v>
      </c>
    </row>
    <row r="4" spans="1:3" ht="83.4" thickBot="1" x14ac:dyDescent="0.35">
      <c r="A4" s="15" t="s">
        <v>239</v>
      </c>
      <c r="B4" s="16" t="s">
        <v>247</v>
      </c>
      <c r="C4" s="16" t="s">
        <v>248</v>
      </c>
    </row>
    <row r="5" spans="1:3" ht="42" thickBot="1" x14ac:dyDescent="0.35">
      <c r="A5" s="15" t="s">
        <v>240</v>
      </c>
      <c r="B5" s="16" t="s">
        <v>245</v>
      </c>
      <c r="C5" s="16" t="s">
        <v>241</v>
      </c>
    </row>
    <row r="6" spans="1:3" ht="55.8" thickBot="1" x14ac:dyDescent="0.35">
      <c r="A6" s="15" t="s">
        <v>242</v>
      </c>
      <c r="B6" s="16" t="s">
        <v>243</v>
      </c>
      <c r="C6" s="16" t="s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sqref="A1:K151"/>
    </sheetView>
  </sheetViews>
  <sheetFormatPr defaultRowHeight="14.4" x14ac:dyDescent="0.3"/>
  <cols>
    <col min="1" max="1" width="15" customWidth="1"/>
    <col min="2" max="2" width="21.109375" style="10" customWidth="1"/>
    <col min="3" max="3" width="23.6640625" customWidth="1"/>
    <col min="4" max="4" width="13.21875" customWidth="1"/>
    <col min="5" max="5" width="22.88671875" customWidth="1"/>
    <col min="6" max="6" width="15.77734375" customWidth="1"/>
    <col min="7" max="7" width="14" customWidth="1"/>
    <col min="8" max="8" width="14.6640625" customWidth="1"/>
    <col min="9" max="9" width="12.5546875" customWidth="1"/>
    <col min="10" max="10" width="17.6640625" customWidth="1"/>
    <col min="11" max="11" width="17.21875" customWidth="1"/>
  </cols>
  <sheetData>
    <row r="1" spans="1:11" ht="15.6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.6" x14ac:dyDescent="0.3">
      <c r="A2" s="4" t="s">
        <v>11</v>
      </c>
      <c r="B2" s="8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6" x14ac:dyDescent="0.3">
      <c r="A3" s="4" t="s">
        <v>17</v>
      </c>
      <c r="B3" s="8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6" x14ac:dyDescent="0.3">
      <c r="A4" s="4" t="s">
        <v>22</v>
      </c>
      <c r="B4" s="8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6" x14ac:dyDescent="0.3">
      <c r="A5" s="4" t="s">
        <v>23</v>
      </c>
      <c r="B5" s="8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6" x14ac:dyDescent="0.3">
      <c r="A6" s="4" t="s">
        <v>26</v>
      </c>
      <c r="B6" s="8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6" x14ac:dyDescent="0.3">
      <c r="A7" s="4" t="s">
        <v>31</v>
      </c>
      <c r="B7" s="8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6" x14ac:dyDescent="0.3">
      <c r="A8" s="4" t="s">
        <v>33</v>
      </c>
      <c r="B8" s="8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6" x14ac:dyDescent="0.3">
      <c r="A9" s="4" t="s">
        <v>36</v>
      </c>
      <c r="B9" s="8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6" x14ac:dyDescent="0.3">
      <c r="A10" s="4" t="s">
        <v>40</v>
      </c>
      <c r="B10" s="8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6" x14ac:dyDescent="0.3">
      <c r="A11" s="4" t="s">
        <v>43</v>
      </c>
      <c r="B11" s="8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6" x14ac:dyDescent="0.3">
      <c r="A12" s="4" t="s">
        <v>45</v>
      </c>
      <c r="B12" s="8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6" x14ac:dyDescent="0.3">
      <c r="A13" s="4" t="s">
        <v>46</v>
      </c>
      <c r="B13" s="8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6" x14ac:dyDescent="0.3">
      <c r="A14" s="4" t="s">
        <v>48</v>
      </c>
      <c r="B14" s="8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6" x14ac:dyDescent="0.3">
      <c r="A15" s="4" t="s">
        <v>51</v>
      </c>
      <c r="B15" s="8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6" x14ac:dyDescent="0.3">
      <c r="A16" s="4" t="s">
        <v>53</v>
      </c>
      <c r="B16" s="8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6" x14ac:dyDescent="0.3">
      <c r="A17" s="4" t="s">
        <v>56</v>
      </c>
      <c r="B17" s="8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6" x14ac:dyDescent="0.3">
      <c r="A18" s="4" t="s">
        <v>58</v>
      </c>
      <c r="B18" s="8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6" x14ac:dyDescent="0.3">
      <c r="A19" s="4" t="s">
        <v>60</v>
      </c>
      <c r="B19" s="8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6" x14ac:dyDescent="0.3">
      <c r="A20" s="4" t="s">
        <v>61</v>
      </c>
      <c r="B20" s="8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6" x14ac:dyDescent="0.3">
      <c r="A21" s="4" t="s">
        <v>62</v>
      </c>
      <c r="B21" s="8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6" x14ac:dyDescent="0.3">
      <c r="A22" s="4" t="s">
        <v>64</v>
      </c>
      <c r="B22" s="8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6" x14ac:dyDescent="0.3">
      <c r="A23" s="4" t="s">
        <v>65</v>
      </c>
      <c r="B23" s="8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6" x14ac:dyDescent="0.3">
      <c r="A24" s="4" t="s">
        <v>66</v>
      </c>
      <c r="B24" s="8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6" x14ac:dyDescent="0.3">
      <c r="A25" s="4" t="s">
        <v>67</v>
      </c>
      <c r="B25" s="8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6" x14ac:dyDescent="0.3">
      <c r="A26" s="4" t="s">
        <v>69</v>
      </c>
      <c r="B26" s="8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6" x14ac:dyDescent="0.3">
      <c r="A27" s="4" t="s">
        <v>71</v>
      </c>
      <c r="B27" s="8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6" x14ac:dyDescent="0.3">
      <c r="A28" s="4" t="s">
        <v>72</v>
      </c>
      <c r="B28" s="8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6" x14ac:dyDescent="0.3">
      <c r="A29" s="4" t="s">
        <v>73</v>
      </c>
      <c r="B29" s="8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6" x14ac:dyDescent="0.3">
      <c r="A30" s="4" t="s">
        <v>75</v>
      </c>
      <c r="B30" s="8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6" x14ac:dyDescent="0.3">
      <c r="A31" s="4" t="s">
        <v>76</v>
      </c>
      <c r="B31" s="8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6" x14ac:dyDescent="0.3">
      <c r="A32" s="4" t="s">
        <v>77</v>
      </c>
      <c r="B32" s="8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6" x14ac:dyDescent="0.3">
      <c r="A33" s="4" t="s">
        <v>78</v>
      </c>
      <c r="B33" s="8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6" x14ac:dyDescent="0.3">
      <c r="A34" s="4" t="s">
        <v>79</v>
      </c>
      <c r="B34" s="8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6" x14ac:dyDescent="0.3">
      <c r="A35" s="4" t="s">
        <v>80</v>
      </c>
      <c r="B35" s="8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6" x14ac:dyDescent="0.3">
      <c r="A36" s="4" t="s">
        <v>81</v>
      </c>
      <c r="B36" s="8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6" x14ac:dyDescent="0.3">
      <c r="A37" s="4" t="s">
        <v>82</v>
      </c>
      <c r="B37" s="8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6" x14ac:dyDescent="0.3">
      <c r="A38" s="4" t="s">
        <v>83</v>
      </c>
      <c r="B38" s="8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6" x14ac:dyDescent="0.3">
      <c r="A39" s="4" t="s">
        <v>84</v>
      </c>
      <c r="B39" s="8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6" x14ac:dyDescent="0.3">
      <c r="A40" s="4" t="s">
        <v>85</v>
      </c>
      <c r="B40" s="8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6" x14ac:dyDescent="0.3">
      <c r="A41" s="4" t="s">
        <v>86</v>
      </c>
      <c r="B41" s="8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6" x14ac:dyDescent="0.3">
      <c r="A42" s="4" t="s">
        <v>87</v>
      </c>
      <c r="B42" s="8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6" x14ac:dyDescent="0.3">
      <c r="A43" s="4" t="s">
        <v>88</v>
      </c>
      <c r="B43" s="8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6" x14ac:dyDescent="0.3">
      <c r="A44" s="4" t="s">
        <v>89</v>
      </c>
      <c r="B44" s="8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6" x14ac:dyDescent="0.3">
      <c r="A45" s="4" t="s">
        <v>90</v>
      </c>
      <c r="B45" s="8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6" x14ac:dyDescent="0.3">
      <c r="A46" s="4" t="s">
        <v>91</v>
      </c>
      <c r="B46" s="8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6" x14ac:dyDescent="0.3">
      <c r="A47" s="4" t="s">
        <v>92</v>
      </c>
      <c r="B47" s="8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6" x14ac:dyDescent="0.3">
      <c r="A48" s="4" t="s">
        <v>93</v>
      </c>
      <c r="B48" s="8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6" x14ac:dyDescent="0.3">
      <c r="A49" s="4" t="s">
        <v>94</v>
      </c>
      <c r="B49" s="8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6" x14ac:dyDescent="0.3">
      <c r="A50" s="4" t="s">
        <v>95</v>
      </c>
      <c r="B50" s="8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6" x14ac:dyDescent="0.3">
      <c r="A51" s="4" t="s">
        <v>96</v>
      </c>
      <c r="B51" s="8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6" x14ac:dyDescent="0.3">
      <c r="A52" s="4" t="s">
        <v>97</v>
      </c>
      <c r="B52" s="8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6" x14ac:dyDescent="0.3">
      <c r="A53" s="4" t="s">
        <v>98</v>
      </c>
      <c r="B53" s="8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6" x14ac:dyDescent="0.3">
      <c r="A54" s="4" t="s">
        <v>100</v>
      </c>
      <c r="B54" s="8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6" x14ac:dyDescent="0.3">
      <c r="A55" s="4" t="s">
        <v>101</v>
      </c>
      <c r="B55" s="8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6" x14ac:dyDescent="0.3">
      <c r="A56" s="4" t="s">
        <v>102</v>
      </c>
      <c r="B56" s="8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6" x14ac:dyDescent="0.3">
      <c r="A57" s="4" t="s">
        <v>103</v>
      </c>
      <c r="B57" s="8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6" x14ac:dyDescent="0.3">
      <c r="A58" s="4" t="s">
        <v>104</v>
      </c>
      <c r="B58" s="8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6" x14ac:dyDescent="0.3">
      <c r="A59" s="4" t="s">
        <v>105</v>
      </c>
      <c r="B59" s="8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6" x14ac:dyDescent="0.3">
      <c r="A60" s="4" t="s">
        <v>106</v>
      </c>
      <c r="B60" s="8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6" x14ac:dyDescent="0.3">
      <c r="A61" s="4" t="s">
        <v>107</v>
      </c>
      <c r="B61" s="8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6" x14ac:dyDescent="0.3">
      <c r="A62" s="4" t="s">
        <v>108</v>
      </c>
      <c r="B62" s="8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6" x14ac:dyDescent="0.3">
      <c r="A63" s="4" t="s">
        <v>109</v>
      </c>
      <c r="B63" s="8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6" x14ac:dyDescent="0.3">
      <c r="A64" s="4" t="s">
        <v>110</v>
      </c>
      <c r="B64" s="8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6" x14ac:dyDescent="0.3">
      <c r="A65" s="4" t="s">
        <v>111</v>
      </c>
      <c r="B65" s="8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6" x14ac:dyDescent="0.3">
      <c r="A66" s="4" t="s">
        <v>112</v>
      </c>
      <c r="B66" s="8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6" x14ac:dyDescent="0.3">
      <c r="A67" s="4" t="s">
        <v>113</v>
      </c>
      <c r="B67" s="8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6" x14ac:dyDescent="0.3">
      <c r="A68" s="4" t="s">
        <v>114</v>
      </c>
      <c r="B68" s="8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6" x14ac:dyDescent="0.3">
      <c r="A69" s="4" t="s">
        <v>115</v>
      </c>
      <c r="B69" s="8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6" x14ac:dyDescent="0.3">
      <c r="A70" s="4" t="s">
        <v>116</v>
      </c>
      <c r="B70" s="8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6" x14ac:dyDescent="0.3">
      <c r="A71" s="4" t="s">
        <v>117</v>
      </c>
      <c r="B71" s="8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6" x14ac:dyDescent="0.3">
      <c r="A72" s="4" t="s">
        <v>118</v>
      </c>
      <c r="B72" s="8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6" x14ac:dyDescent="0.3">
      <c r="A73" s="4" t="s">
        <v>119</v>
      </c>
      <c r="B73" s="8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6" x14ac:dyDescent="0.3">
      <c r="A74" s="4" t="s">
        <v>120</v>
      </c>
      <c r="B74" s="8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6" x14ac:dyDescent="0.3">
      <c r="A75" s="4" t="s">
        <v>121</v>
      </c>
      <c r="B75" s="8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6" x14ac:dyDescent="0.3">
      <c r="A76" s="4" t="s">
        <v>122</v>
      </c>
      <c r="B76" s="8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6" x14ac:dyDescent="0.3">
      <c r="A77" s="4" t="s">
        <v>123</v>
      </c>
      <c r="B77" s="8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6" x14ac:dyDescent="0.3">
      <c r="A78" s="4" t="s">
        <v>124</v>
      </c>
      <c r="B78" s="8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6" x14ac:dyDescent="0.3">
      <c r="A79" s="4" t="s">
        <v>125</v>
      </c>
      <c r="B79" s="8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6" x14ac:dyDescent="0.3">
      <c r="A80" s="4" t="s">
        <v>126</v>
      </c>
      <c r="B80" s="8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6" x14ac:dyDescent="0.3">
      <c r="A81" s="4" t="s">
        <v>127</v>
      </c>
      <c r="B81" s="8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6" x14ac:dyDescent="0.3">
      <c r="A82" s="4" t="s">
        <v>128</v>
      </c>
      <c r="B82" s="8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6" x14ac:dyDescent="0.3">
      <c r="A83" s="4" t="s">
        <v>129</v>
      </c>
      <c r="B83" s="8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6" x14ac:dyDescent="0.3">
      <c r="A84" s="4" t="s">
        <v>130</v>
      </c>
      <c r="B84" s="8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6" x14ac:dyDescent="0.3">
      <c r="A85" s="4" t="s">
        <v>131</v>
      </c>
      <c r="B85" s="8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6" x14ac:dyDescent="0.3">
      <c r="A86" s="4" t="s">
        <v>132</v>
      </c>
      <c r="B86" s="8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6" x14ac:dyDescent="0.3">
      <c r="A87" s="4" t="s">
        <v>133</v>
      </c>
      <c r="B87" s="8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6" x14ac:dyDescent="0.3">
      <c r="A88" s="4" t="s">
        <v>134</v>
      </c>
      <c r="B88" s="8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6" x14ac:dyDescent="0.3">
      <c r="A89" s="4" t="s">
        <v>135</v>
      </c>
      <c r="B89" s="8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6" x14ac:dyDescent="0.3">
      <c r="A90" s="4" t="s">
        <v>136</v>
      </c>
      <c r="B90" s="8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6" x14ac:dyDescent="0.3">
      <c r="A91" s="4" t="s">
        <v>137</v>
      </c>
      <c r="B91" s="8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6" x14ac:dyDescent="0.3">
      <c r="A92" s="4" t="s">
        <v>138</v>
      </c>
      <c r="B92" s="8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6" x14ac:dyDescent="0.3">
      <c r="A93" s="4" t="s">
        <v>139</v>
      </c>
      <c r="B93" s="8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6" x14ac:dyDescent="0.3">
      <c r="A94" s="4" t="s">
        <v>140</v>
      </c>
      <c r="B94" s="8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6" x14ac:dyDescent="0.3">
      <c r="A95" s="4" t="s">
        <v>141</v>
      </c>
      <c r="B95" s="8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6" x14ac:dyDescent="0.3">
      <c r="A96" s="4" t="s">
        <v>142</v>
      </c>
      <c r="B96" s="8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6" x14ac:dyDescent="0.3">
      <c r="A97" s="4" t="s">
        <v>143</v>
      </c>
      <c r="B97" s="8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6" x14ac:dyDescent="0.3">
      <c r="A98" s="4" t="s">
        <v>144</v>
      </c>
      <c r="B98" s="8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6" x14ac:dyDescent="0.3">
      <c r="A99" s="4" t="s">
        <v>145</v>
      </c>
      <c r="B99" s="8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6" x14ac:dyDescent="0.3">
      <c r="A100" s="4" t="s">
        <v>146</v>
      </c>
      <c r="B100" s="8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6" x14ac:dyDescent="0.3">
      <c r="A101" s="4" t="s">
        <v>147</v>
      </c>
      <c r="B101" s="8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6" x14ac:dyDescent="0.3">
      <c r="A102" s="4" t="s">
        <v>148</v>
      </c>
      <c r="B102" s="8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6" x14ac:dyDescent="0.3">
      <c r="A103" s="4" t="s">
        <v>149</v>
      </c>
      <c r="B103" s="8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6" x14ac:dyDescent="0.3">
      <c r="A104" s="4" t="s">
        <v>150</v>
      </c>
      <c r="B104" s="8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6" x14ac:dyDescent="0.3">
      <c r="A105" s="4" t="s">
        <v>151</v>
      </c>
      <c r="B105" s="8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6" x14ac:dyDescent="0.3">
      <c r="A106" s="4" t="s">
        <v>152</v>
      </c>
      <c r="B106" s="8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6" x14ac:dyDescent="0.3">
      <c r="A107" s="4" t="s">
        <v>153</v>
      </c>
      <c r="B107" s="8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6" x14ac:dyDescent="0.3">
      <c r="A108" s="4" t="s">
        <v>154</v>
      </c>
      <c r="B108" s="8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6" x14ac:dyDescent="0.3">
      <c r="A109" s="4" t="s">
        <v>155</v>
      </c>
      <c r="B109" s="8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6" x14ac:dyDescent="0.3">
      <c r="A110" s="4" t="s">
        <v>156</v>
      </c>
      <c r="B110" s="8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6" x14ac:dyDescent="0.3">
      <c r="A111" s="4" t="s">
        <v>157</v>
      </c>
      <c r="B111" s="8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6" x14ac:dyDescent="0.3">
      <c r="A112" s="4" t="s">
        <v>158</v>
      </c>
      <c r="B112" s="8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6" x14ac:dyDescent="0.3">
      <c r="A113" s="4" t="s">
        <v>159</v>
      </c>
      <c r="B113" s="8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6" x14ac:dyDescent="0.3">
      <c r="A114" s="4" t="s">
        <v>160</v>
      </c>
      <c r="B114" s="8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6" x14ac:dyDescent="0.3">
      <c r="A115" s="4" t="s">
        <v>161</v>
      </c>
      <c r="B115" s="8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6" x14ac:dyDescent="0.3">
      <c r="A116" s="4" t="s">
        <v>162</v>
      </c>
      <c r="B116" s="8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6" x14ac:dyDescent="0.3">
      <c r="A117" s="4" t="s">
        <v>163</v>
      </c>
      <c r="B117" s="8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6" x14ac:dyDescent="0.3">
      <c r="A118" s="4" t="s">
        <v>164</v>
      </c>
      <c r="B118" s="8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6" x14ac:dyDescent="0.3">
      <c r="A119" s="4" t="s">
        <v>165</v>
      </c>
      <c r="B119" s="8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6" x14ac:dyDescent="0.3">
      <c r="A120" s="4" t="s">
        <v>166</v>
      </c>
      <c r="B120" s="8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6" x14ac:dyDescent="0.3">
      <c r="A121" s="4" t="s">
        <v>167</v>
      </c>
      <c r="B121" s="8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6" x14ac:dyDescent="0.3">
      <c r="A122" s="4" t="s">
        <v>168</v>
      </c>
      <c r="B122" s="8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6" x14ac:dyDescent="0.3">
      <c r="A123" s="4" t="s">
        <v>169</v>
      </c>
      <c r="B123" s="8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6" x14ac:dyDescent="0.3">
      <c r="A124" s="4" t="s">
        <v>170</v>
      </c>
      <c r="B124" s="8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6" x14ac:dyDescent="0.3">
      <c r="A125" s="4" t="s">
        <v>171</v>
      </c>
      <c r="B125" s="8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6" x14ac:dyDescent="0.3">
      <c r="A126" s="4" t="s">
        <v>172</v>
      </c>
      <c r="B126" s="8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6" x14ac:dyDescent="0.3">
      <c r="A127" s="4" t="s">
        <v>173</v>
      </c>
      <c r="B127" s="8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6" x14ac:dyDescent="0.3">
      <c r="A128" s="4" t="s">
        <v>174</v>
      </c>
      <c r="B128" s="8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6" x14ac:dyDescent="0.3">
      <c r="A129" s="4" t="s">
        <v>175</v>
      </c>
      <c r="B129" s="8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6" x14ac:dyDescent="0.3">
      <c r="A130" s="4" t="s">
        <v>176</v>
      </c>
      <c r="B130" s="8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6" x14ac:dyDescent="0.3">
      <c r="A131" s="4" t="s">
        <v>177</v>
      </c>
      <c r="B131" s="8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6" x14ac:dyDescent="0.3">
      <c r="A132" s="4" t="s">
        <v>178</v>
      </c>
      <c r="B132" s="8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6" x14ac:dyDescent="0.3">
      <c r="A133" s="4" t="s">
        <v>179</v>
      </c>
      <c r="B133" s="8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6" x14ac:dyDescent="0.3">
      <c r="A134" s="4" t="s">
        <v>180</v>
      </c>
      <c r="B134" s="8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6" x14ac:dyDescent="0.3">
      <c r="A135" s="4" t="s">
        <v>181</v>
      </c>
      <c r="B135" s="8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6" x14ac:dyDescent="0.3">
      <c r="A136" s="4" t="s">
        <v>182</v>
      </c>
      <c r="B136" s="8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6" x14ac:dyDescent="0.3">
      <c r="A137" s="4" t="s">
        <v>183</v>
      </c>
      <c r="B137" s="9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6" x14ac:dyDescent="0.3">
      <c r="A138" s="4" t="s">
        <v>184</v>
      </c>
      <c r="B138" s="9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6" x14ac:dyDescent="0.3">
      <c r="A139" s="4" t="s">
        <v>185</v>
      </c>
      <c r="B139" s="9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6" x14ac:dyDescent="0.3">
      <c r="A140" s="4" t="s">
        <v>186</v>
      </c>
      <c r="B140" s="9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6" x14ac:dyDescent="0.3">
      <c r="A141" s="4" t="s">
        <v>187</v>
      </c>
      <c r="B141" s="9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6" x14ac:dyDescent="0.3">
      <c r="A142" s="4" t="s">
        <v>188</v>
      </c>
      <c r="B142" s="9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6" x14ac:dyDescent="0.3">
      <c r="A143" s="4" t="s">
        <v>189</v>
      </c>
      <c r="B143" s="9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6" x14ac:dyDescent="0.3">
      <c r="A144" s="4" t="s">
        <v>190</v>
      </c>
      <c r="B144" s="9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6" x14ac:dyDescent="0.3">
      <c r="A145" s="4" t="s">
        <v>191</v>
      </c>
      <c r="B145" s="9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6" x14ac:dyDescent="0.3">
      <c r="A146" s="4" t="s">
        <v>192</v>
      </c>
      <c r="B146" s="9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6" x14ac:dyDescent="0.3">
      <c r="A147" s="4" t="s">
        <v>193</v>
      </c>
      <c r="B147" s="9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6" x14ac:dyDescent="0.3">
      <c r="A148" s="4" t="s">
        <v>194</v>
      </c>
      <c r="B148" s="9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6" x14ac:dyDescent="0.3">
      <c r="A149" s="4" t="s">
        <v>195</v>
      </c>
      <c r="B149" s="9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6" x14ac:dyDescent="0.3">
      <c r="A150" s="4" t="s">
        <v>196</v>
      </c>
      <c r="B150" s="9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6" x14ac:dyDescent="0.3">
      <c r="A151" s="4" t="s">
        <v>197</v>
      </c>
      <c r="B151" s="9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 xr:uid="{00000000-0001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"/>
    </sheetView>
  </sheetViews>
  <sheetFormatPr defaultRowHeight="14.4" x14ac:dyDescent="0.3"/>
  <cols>
    <col min="1" max="1" width="25" customWidth="1"/>
    <col min="2" max="2" width="12" customWidth="1"/>
    <col min="3" max="3" width="17.5546875" customWidth="1"/>
  </cols>
  <sheetData>
    <row r="1" spans="1:3" ht="15.6" x14ac:dyDescent="0.3">
      <c r="A1" s="1" t="s">
        <v>4</v>
      </c>
      <c r="B1" s="1" t="s">
        <v>5</v>
      </c>
      <c r="C1" s="1" t="s">
        <v>198</v>
      </c>
    </row>
    <row r="2" spans="1:3" ht="15.6" x14ac:dyDescent="0.3">
      <c r="A2" s="2" t="s">
        <v>14</v>
      </c>
      <c r="B2" s="2" t="s">
        <v>15</v>
      </c>
      <c r="C2" s="3">
        <v>55000</v>
      </c>
    </row>
    <row r="3" spans="1:3" ht="15.6" x14ac:dyDescent="0.3">
      <c r="A3" s="2" t="s">
        <v>20</v>
      </c>
      <c r="B3" s="2" t="s">
        <v>15</v>
      </c>
      <c r="C3" s="3">
        <v>45000</v>
      </c>
    </row>
    <row r="4" spans="1:3" ht="15.6" x14ac:dyDescent="0.3">
      <c r="A4" s="2" t="s">
        <v>63</v>
      </c>
      <c r="B4" s="2" t="s">
        <v>15</v>
      </c>
      <c r="C4" s="3">
        <v>65000</v>
      </c>
    </row>
    <row r="5" spans="1:3" ht="15.6" x14ac:dyDescent="0.3">
      <c r="A5" s="2" t="s">
        <v>54</v>
      </c>
      <c r="B5" s="2" t="s">
        <v>50</v>
      </c>
      <c r="C5" s="3">
        <v>189000</v>
      </c>
    </row>
    <row r="6" spans="1:3" ht="15.6" x14ac:dyDescent="0.3">
      <c r="A6" s="2" t="s">
        <v>99</v>
      </c>
      <c r="B6" s="2" t="s">
        <v>50</v>
      </c>
      <c r="C6" s="3">
        <v>159000</v>
      </c>
    </row>
    <row r="7" spans="1:3" ht="15.6" x14ac:dyDescent="0.3">
      <c r="A7" s="2" t="s">
        <v>49</v>
      </c>
      <c r="B7" s="2" t="s">
        <v>50</v>
      </c>
      <c r="C7" s="3">
        <v>129000</v>
      </c>
    </row>
    <row r="8" spans="1:3" ht="15.6" x14ac:dyDescent="0.3">
      <c r="A8" s="2" t="s">
        <v>32</v>
      </c>
      <c r="B8" s="2" t="s">
        <v>29</v>
      </c>
      <c r="C8" s="3">
        <v>59000</v>
      </c>
    </row>
    <row r="9" spans="1:3" ht="15.6" x14ac:dyDescent="0.3">
      <c r="A9" s="2" t="s">
        <v>28</v>
      </c>
      <c r="B9" s="2" t="s">
        <v>29</v>
      </c>
      <c r="C9" s="3">
        <v>129000</v>
      </c>
    </row>
    <row r="10" spans="1:3" ht="15.6" x14ac:dyDescent="0.3">
      <c r="A10" s="2" t="s">
        <v>70</v>
      </c>
      <c r="B10" s="2" t="s">
        <v>29</v>
      </c>
      <c r="C10" s="3">
        <v>79000</v>
      </c>
    </row>
    <row r="11" spans="1:3" ht="15.6" x14ac:dyDescent="0.3">
      <c r="A11" s="2" t="s">
        <v>37</v>
      </c>
      <c r="B11" s="2" t="s">
        <v>38</v>
      </c>
      <c r="C11" s="3">
        <v>25000</v>
      </c>
    </row>
    <row r="12" spans="1:3" ht="15.6" x14ac:dyDescent="0.3">
      <c r="A12" s="2" t="s">
        <v>52</v>
      </c>
      <c r="B12" s="2" t="s">
        <v>38</v>
      </c>
      <c r="C12" s="3">
        <v>35000</v>
      </c>
    </row>
    <row r="13" spans="1:3" ht="15.6" x14ac:dyDescent="0.3">
      <c r="A13" s="2" t="s">
        <v>57</v>
      </c>
      <c r="B13" s="2" t="s">
        <v>38</v>
      </c>
      <c r="C13" s="3">
        <v>39000</v>
      </c>
    </row>
    <row r="14" spans="1:3" ht="15.6" x14ac:dyDescent="0.3">
      <c r="A14" s="2" t="s">
        <v>74</v>
      </c>
      <c r="B14" s="2" t="s">
        <v>42</v>
      </c>
      <c r="C14" s="3">
        <v>18000</v>
      </c>
    </row>
    <row r="15" spans="1:3" ht="15.6" x14ac:dyDescent="0.3">
      <c r="A15" s="2" t="s">
        <v>59</v>
      </c>
      <c r="B15" s="2" t="s">
        <v>42</v>
      </c>
      <c r="C15" s="3">
        <v>18000</v>
      </c>
    </row>
    <row r="16" spans="1:3" ht="15.6" x14ac:dyDescent="0.3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Nhiệm vụ 1</vt:lpstr>
      <vt:lpstr>Nhiệm vụ 2</vt:lpstr>
      <vt:lpstr>Nhiệm vụ 3</vt:lpstr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2026-01-08T08:37:22Z</dcterms:created>
  <dcterms:modified xsi:type="dcterms:W3CDTF">2026-01-26T12:58:50Z</dcterms:modified>
</cp:coreProperties>
</file>