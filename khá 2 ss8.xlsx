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76D5EF-B3D5-4251-8932-AD0F9E57114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uickBite_Clean" sheetId="1" r:id="rId1"/>
    <sheet name="Pivot 1 - Doanh thu CN" sheetId="2" r:id="rId2"/>
    <sheet name="Pivot 2 - Đơn hà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 s="1"/>
  <c r="B3" i="3"/>
  <c r="C3" i="3" s="1"/>
  <c r="B2" i="3"/>
  <c r="C2" i="3" s="1"/>
  <c r="B4" i="2"/>
  <c r="B3" i="2"/>
  <c r="B2" i="2"/>
  <c r="B5" i="2" s="1"/>
</calcChain>
</file>

<file path=xl/sharedStrings.xml><?xml version="1.0" encoding="utf-8"?>
<sst xmlns="http://schemas.openxmlformats.org/spreadsheetml/2006/main" count="30" uniqueCount="18">
  <si>
    <t>Mã đơn hàng</t>
  </si>
  <si>
    <t>Chi nhánh</t>
  </si>
  <si>
    <t>Doanh thu</t>
  </si>
  <si>
    <t>DH001</t>
  </si>
  <si>
    <t>Hà Nội</t>
  </si>
  <si>
    <t>DH002</t>
  </si>
  <si>
    <t>DH003</t>
  </si>
  <si>
    <t>Đà Nẵng</t>
  </si>
  <si>
    <t>DH004</t>
  </si>
  <si>
    <t>DH005</t>
  </si>
  <si>
    <t>TP.HCM</t>
  </si>
  <si>
    <t>DH006</t>
  </si>
  <si>
    <t>DH007</t>
  </si>
  <si>
    <t>Tổng doanh thu (VNĐ)</t>
  </si>
  <si>
    <t>Xếp hạng (1 = cao nhất)</t>
  </si>
  <si>
    <t>Tổng cộng</t>
  </si>
  <si>
    <t>Số đơn hàng</t>
  </si>
  <si>
    <t>Doanh thu TB/đơn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</si>
</sst>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7C02F-2790-5944-A64D-18DB50ADB866}" name="Table1" displayName="Table1" ref="A1:C8" totalsRowShown="0">
  <autoFilter ref="A1:C8" xr:uid="{F617C02F-2790-5944-A64D-18DB50ADB866}"/>
  <tableColumns count="3">
    <tableColumn id="1" xr3:uid="{3A766A73-D2E0-D548-997B-0C03B501BD6E}" name="Mã đơn hàng"/>
    <tableColumn id="2" xr3:uid="{73891445-EA09-7641-AC82-2BCEA6B37935}" name="Chi nhánh"/>
    <tableColumn id="3" xr3:uid="{1889E191-D064-504A-B456-EBB90860E97A}" name="Doanh thu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8C7BA-5207-AB45-8E68-FE2618167925}" name="Table2" displayName="Table2" ref="A1:B5" totalsRowShown="0">
  <autoFilter ref="A1:B5" xr:uid="{4488C7BA-5207-AB45-8E68-FE2618167925}"/>
  <tableColumns count="2">
    <tableColumn id="1" xr3:uid="{ECF86738-1A50-D34A-BEF2-DDEDCFD43437}" name="Chi nhánh"/>
    <tableColumn id="2" xr3:uid="{63828EDC-7755-2D43-B0AC-CCA41B9E4B33}" name="Tổng doanh thu (VNĐ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7A8A25-4D82-D54D-8BB6-F41D88E2EA8E}" name="Table3" displayName="Table3" ref="A1:C4" totalsRowShown="0">
  <autoFilter ref="A1:C4" xr:uid="{297A8A25-4D82-D54D-8BB6-F41D88E2EA8E}"/>
  <tableColumns count="3">
    <tableColumn id="1" xr3:uid="{59EF6935-B436-2D4A-8ED0-4C335C6CDE2D}" name="Chi nhánh"/>
    <tableColumn id="2" xr3:uid="{F315E069-AC43-CC4A-A4E8-9766A5B1F63D}" name="Số đơn hàng">
      <calculatedColumnFormula>COUNTIF(QuickBite_Clean!B:B,A2)</calculatedColumnFormula>
    </tableColumn>
    <tableColumn id="3" xr3:uid="{9EDA3998-0DCB-8E4B-BAD8-9C209F37D2DC}" name="Doanh thu TB/đơn (VNĐ)">
      <calculatedColumnFormula>SUMIF(QuickBite_Clean!B:B,A2,QuickBite_Clean!C:C)/B2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C8"/>
    </sheetView>
  </sheetViews>
  <sheetFormatPr defaultColWidth="8.85546875" defaultRowHeight="15" x14ac:dyDescent="0.25"/>
  <cols>
    <col min="1" max="1" width="13.42578125" customWidth="1"/>
    <col min="2" max="2" width="11.14062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1200000</v>
      </c>
    </row>
    <row r="3" spans="1:3" x14ac:dyDescent="0.25">
      <c r="A3" t="s">
        <v>5</v>
      </c>
      <c r="B3" t="s">
        <v>4</v>
      </c>
      <c r="C3">
        <v>800000</v>
      </c>
    </row>
    <row r="4" spans="1:3" x14ac:dyDescent="0.25">
      <c r="A4" t="s">
        <v>6</v>
      </c>
      <c r="B4" t="s">
        <v>7</v>
      </c>
      <c r="C4">
        <v>950000</v>
      </c>
    </row>
    <row r="5" spans="1:3" x14ac:dyDescent="0.25">
      <c r="A5" t="s">
        <v>8</v>
      </c>
      <c r="B5" t="s">
        <v>7</v>
      </c>
      <c r="C5">
        <v>1050000</v>
      </c>
    </row>
    <row r="6" spans="1:3" x14ac:dyDescent="0.25">
      <c r="A6" t="s">
        <v>9</v>
      </c>
      <c r="B6" t="s">
        <v>10</v>
      </c>
      <c r="C6">
        <v>2000000</v>
      </c>
    </row>
    <row r="7" spans="1:3" x14ac:dyDescent="0.25">
      <c r="A7" t="s">
        <v>11</v>
      </c>
      <c r="B7" t="s">
        <v>10</v>
      </c>
      <c r="C7">
        <v>1800000</v>
      </c>
    </row>
    <row r="8" spans="1:3" x14ac:dyDescent="0.25">
      <c r="A8" t="s">
        <v>12</v>
      </c>
      <c r="B8" t="s">
        <v>10</v>
      </c>
      <c r="C8">
        <v>2200000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sqref="A1:B5"/>
    </sheetView>
  </sheetViews>
  <sheetFormatPr defaultColWidth="8.85546875" defaultRowHeight="15" x14ac:dyDescent="0.25"/>
  <cols>
    <col min="1" max="1" width="11.140625" customWidth="1"/>
    <col min="2" max="2" width="20.140625" customWidth="1"/>
    <col min="3" max="3" width="18.85546875" bestFit="1" customWidth="1"/>
  </cols>
  <sheetData>
    <row r="1" spans="1:3" x14ac:dyDescent="0.25">
      <c r="A1" t="s">
        <v>1</v>
      </c>
      <c r="B1" t="s">
        <v>13</v>
      </c>
      <c r="C1" t="s">
        <v>14</v>
      </c>
    </row>
    <row r="2" spans="1:3" x14ac:dyDescent="0.25">
      <c r="A2" t="s">
        <v>4</v>
      </c>
      <c r="B2">
        <f>SUMIF(QuickBite_Clean!B:B,A2,QuickBite_Clean!C:C)</f>
        <v>2000000</v>
      </c>
    </row>
    <row r="3" spans="1:3" x14ac:dyDescent="0.25">
      <c r="A3" t="s">
        <v>7</v>
      </c>
      <c r="B3">
        <f>SUMIF(QuickBite_Clean!B:B,A3,QuickBite_Clean!C:C)</f>
        <v>2000000</v>
      </c>
    </row>
    <row r="4" spans="1:3" x14ac:dyDescent="0.25">
      <c r="A4" t="s">
        <v>10</v>
      </c>
      <c r="B4">
        <f>SUMIF(QuickBite_Clean!B:B,A4,QuickBite_Clean!C:C)</f>
        <v>6000000</v>
      </c>
    </row>
    <row r="5" spans="1:3" x14ac:dyDescent="0.25">
      <c r="A5" t="s">
        <v>15</v>
      </c>
      <c r="B5">
        <f>SUM(B2:B4)</f>
        <v>10000000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1" sqref="C11"/>
    </sheetView>
  </sheetViews>
  <sheetFormatPr defaultColWidth="8.85546875" defaultRowHeight="15" x14ac:dyDescent="0.25"/>
  <cols>
    <col min="1" max="1" width="11.140625" customWidth="1"/>
    <col min="2" max="2" width="12.85546875" customWidth="1"/>
    <col min="3" max="3" width="22.42578125" customWidth="1"/>
  </cols>
  <sheetData>
    <row r="1" spans="1:3" x14ac:dyDescent="0.25">
      <c r="A1" t="s">
        <v>1</v>
      </c>
      <c r="B1" t="s">
        <v>16</v>
      </c>
      <c r="C1" t="s">
        <v>17</v>
      </c>
    </row>
    <row r="2" spans="1:3" x14ac:dyDescent="0.25">
      <c r="A2" t="s">
        <v>4</v>
      </c>
      <c r="B2">
        <f>COUNTIF(QuickBite_Clean!B:B,A2)</f>
        <v>2</v>
      </c>
      <c r="C2">
        <f>SUMIF(QuickBite_Clean!B:B,A2,QuickBite_Clean!C:C)/B2</f>
        <v>1000000</v>
      </c>
    </row>
    <row r="3" spans="1:3" x14ac:dyDescent="0.25">
      <c r="A3" t="s">
        <v>7</v>
      </c>
      <c r="B3">
        <f>COUNTIF(QuickBite_Clean!B:B,A3)</f>
        <v>2</v>
      </c>
      <c r="C3">
        <f>SUMIF(QuickBite_Clean!B:B,A3,QuickBite_Clean!C:C)/B3</f>
        <v>1000000</v>
      </c>
    </row>
    <row r="4" spans="1:3" x14ac:dyDescent="0.25">
      <c r="A4" t="s">
        <v>10</v>
      </c>
      <c r="B4">
        <f>COUNTIF(QuickBite_Clean!B:B,A4)</f>
        <v>3</v>
      </c>
      <c r="C4">
        <f>SUMIF(QuickBite_Clean!B:B,A4,QuickBite_Clean!C:C)/B4</f>
        <v>2000000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QuickBite_Clean</vt:lpstr>
      <vt:lpstr>Pivot 1 - Doanh thu CN</vt:lpstr>
      <vt:lpstr>Pivot 2 - Đơn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2026-01-22T02:12:29Z</dcterms:created>
  <dcterms:modified xsi:type="dcterms:W3CDTF">2026-01-22T16:43:36Z</dcterms:modified>
</cp:coreProperties>
</file>