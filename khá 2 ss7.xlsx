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2D8594B9-4252-4518-821B-8663AA71FA04}" xr6:coauthVersionLast="47" xr6:coauthVersionMax="47" xr10:uidLastSave="{00000000-0000-0000-0000-000000000000}"/>
  <bookViews>
    <workbookView xWindow="-120" yWindow="-120" windowWidth="20730" windowHeight="11160" activeTab="2" xr2:uid="{00000000-000D-0000-FFFF-FFFF00000000}"/>
  </bookViews>
  <sheets>
    <sheet name="Sheet1" sheetId="1" r:id="rId1"/>
    <sheet name="Nhiệm_vụ_1" sheetId="2" r:id="rId2"/>
    <sheet name="Tổng_hợp_trả_lời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3" l="1"/>
</calcChain>
</file>

<file path=xl/sharedStrings.xml><?xml version="1.0" encoding="utf-8"?>
<sst xmlns="http://schemas.openxmlformats.org/spreadsheetml/2006/main" count="1006" uniqueCount="216">
  <si>
    <t>Mã đơn hàng</t>
  </si>
  <si>
    <t>Ngày bán</t>
  </si>
  <si>
    <t>Nhân viên</t>
  </si>
  <si>
    <t>Chi nhánh</t>
  </si>
  <si>
    <t>Tên sản phẩm</t>
  </si>
  <si>
    <t>Danh mục</t>
  </si>
  <si>
    <t>Số lượng</t>
  </si>
  <si>
    <t>Đơn giá</t>
  </si>
  <si>
    <t>Kênh bán</t>
  </si>
  <si>
    <t>Ghi chú</t>
  </si>
  <si>
    <t>Doanh thu</t>
  </si>
  <si>
    <t>QB-240001</t>
  </si>
  <si>
    <t>Nguyễn Minh Anh</t>
  </si>
  <si>
    <t>Hà Nội</t>
  </si>
  <si>
    <t>Burger Bò Phô Mai</t>
  </si>
  <si>
    <t>Burger</t>
  </si>
  <si>
    <t>Tại quán</t>
  </si>
  <si>
    <t>QB-240002</t>
  </si>
  <si>
    <t>Võ Văn Phúc</t>
  </si>
  <si>
    <t>TP.HCM</t>
  </si>
  <si>
    <t>Burger Gà Giòn</t>
  </si>
  <si>
    <t>Thêm tương ớt</t>
  </si>
  <si>
    <t>QB-240003</t>
  </si>
  <si>
    <t>QB-240004</t>
  </si>
  <si>
    <t>Hoàng Thị Em</t>
  </si>
  <si>
    <t>Ít đá</t>
  </si>
  <si>
    <t>QB-240005</t>
  </si>
  <si>
    <t>Trần Văn Bình</t>
  </si>
  <si>
    <t>Gà Rán 5 Miếng</t>
  </si>
  <si>
    <t>Gà rán</t>
  </si>
  <si>
    <t>Grab</t>
  </si>
  <si>
    <t>QB-240006</t>
  </si>
  <si>
    <t>Gà Rán 2 Miếng</t>
  </si>
  <si>
    <t>QB-240007</t>
  </si>
  <si>
    <t>Lê Thị Cẩm</t>
  </si>
  <si>
    <t>Đà Nẵng</t>
  </si>
  <si>
    <t>QB-240008</t>
  </si>
  <si>
    <t>Khoai Tây Chiên (M)</t>
  </si>
  <si>
    <t>Món phụ</t>
  </si>
  <si>
    <t>Không hành</t>
  </si>
  <si>
    <t>QB-240009</t>
  </si>
  <si>
    <t>Trà Đào</t>
  </si>
  <si>
    <t>Nước uống</t>
  </si>
  <si>
    <t>QB-240010</t>
  </si>
  <si>
    <t>ShopeeFood</t>
  </si>
  <si>
    <t>QB-240011</t>
  </si>
  <si>
    <t>QB-240012</t>
  </si>
  <si>
    <t>Khách VIP</t>
  </si>
  <si>
    <t>QB-240013</t>
  </si>
  <si>
    <t>Pizza Rau Củ</t>
  </si>
  <si>
    <t>Pizza</t>
  </si>
  <si>
    <t>QB-240014</t>
  </si>
  <si>
    <t>Khoai Tây Chiên (L)</t>
  </si>
  <si>
    <t>QB-240015</t>
  </si>
  <si>
    <t>Pizza Hải Sản</t>
  </si>
  <si>
    <t>Giao gấp</t>
  </si>
  <si>
    <t>QB-240016</t>
  </si>
  <si>
    <t>Salad Trộn</t>
  </si>
  <si>
    <t>QB-240017</t>
  </si>
  <si>
    <t>Pepsi</t>
  </si>
  <si>
    <t>QB-240018</t>
  </si>
  <si>
    <t>QB-240019</t>
  </si>
  <si>
    <t>QB-240020</t>
  </si>
  <si>
    <t>Burger Tôm</t>
  </si>
  <si>
    <t>QB-240021</t>
  </si>
  <si>
    <t>QB-240022</t>
  </si>
  <si>
    <t>QB-240023</t>
  </si>
  <si>
    <t>QB-240024</t>
  </si>
  <si>
    <t>Phạm Hoàng Dũng</t>
  </si>
  <si>
    <t>QB-240025</t>
  </si>
  <si>
    <t>Cánh Gà Chiên Mắm</t>
  </si>
  <si>
    <t>QB-240026</t>
  </si>
  <si>
    <t>QB-240027</t>
  </si>
  <si>
    <t>QB-240028</t>
  </si>
  <si>
    <t>Coca Cola</t>
  </si>
  <si>
    <t>QB-240029</t>
  </si>
  <si>
    <t>QB-240030</t>
  </si>
  <si>
    <t>QB-240031</t>
  </si>
  <si>
    <t>QB-240032</t>
  </si>
  <si>
    <t>QB-240033</t>
  </si>
  <si>
    <t>QB-240034</t>
  </si>
  <si>
    <t>QB-240035</t>
  </si>
  <si>
    <t>QB-240036</t>
  </si>
  <si>
    <t>QB-240037</t>
  </si>
  <si>
    <t>QB-240038</t>
  </si>
  <si>
    <t>QB-240039</t>
  </si>
  <si>
    <t>QB-240040</t>
  </si>
  <si>
    <t>QB-240041</t>
  </si>
  <si>
    <t>QB-240042</t>
  </si>
  <si>
    <t>QB-240043</t>
  </si>
  <si>
    <t>QB-240044</t>
  </si>
  <si>
    <t>QB-240045</t>
  </si>
  <si>
    <t>QB-240046</t>
  </si>
  <si>
    <t>QB-240047</t>
  </si>
  <si>
    <t>QB-240048</t>
  </si>
  <si>
    <t>QB-240049</t>
  </si>
  <si>
    <t>QB-240050</t>
  </si>
  <si>
    <t>QB-240051</t>
  </si>
  <si>
    <t>QB-240052</t>
  </si>
  <si>
    <t>Pizza Pepperoni</t>
  </si>
  <si>
    <t>QB-240053</t>
  </si>
  <si>
    <t>QB-240054</t>
  </si>
  <si>
    <t>QB-240055</t>
  </si>
  <si>
    <t>QB-240056</t>
  </si>
  <si>
    <t>QB-240057</t>
  </si>
  <si>
    <t>QB-240058</t>
  </si>
  <si>
    <t>QB-240059</t>
  </si>
  <si>
    <t>QB-240060</t>
  </si>
  <si>
    <t>QB-240061</t>
  </si>
  <si>
    <t>QB-240062</t>
  </si>
  <si>
    <t>QB-240063</t>
  </si>
  <si>
    <t>QB-240064</t>
  </si>
  <si>
    <t>QB-240065</t>
  </si>
  <si>
    <t>QB-240066</t>
  </si>
  <si>
    <t>QB-240067</t>
  </si>
  <si>
    <t>QB-240068</t>
  </si>
  <si>
    <t>QB-240069</t>
  </si>
  <si>
    <t>QB-240070</t>
  </si>
  <si>
    <t>QB-240071</t>
  </si>
  <si>
    <t>QB-240072</t>
  </si>
  <si>
    <t>QB-240073</t>
  </si>
  <si>
    <t>QB-240074</t>
  </si>
  <si>
    <t>QB-240075</t>
  </si>
  <si>
    <t>QB-240076</t>
  </si>
  <si>
    <t>QB-240077</t>
  </si>
  <si>
    <t>QB-240078</t>
  </si>
  <si>
    <t>QB-240079</t>
  </si>
  <si>
    <t>QB-240080</t>
  </si>
  <si>
    <t>QB-240081</t>
  </si>
  <si>
    <t>QB-240082</t>
  </si>
  <si>
    <t>QB-240083</t>
  </si>
  <si>
    <t>QB-240084</t>
  </si>
  <si>
    <t>QB-240085</t>
  </si>
  <si>
    <t>QB-240086</t>
  </si>
  <si>
    <t>QB-240087</t>
  </si>
  <si>
    <t>QB-240088</t>
  </si>
  <si>
    <t>QB-240089</t>
  </si>
  <si>
    <t>QB-240090</t>
  </si>
  <si>
    <t>QB-240091</t>
  </si>
  <si>
    <t>QB-240092</t>
  </si>
  <si>
    <t>QB-240093</t>
  </si>
  <si>
    <t>QB-240094</t>
  </si>
  <si>
    <t>QB-240095</t>
  </si>
  <si>
    <t>QB-240096</t>
  </si>
  <si>
    <t>QB-240097</t>
  </si>
  <si>
    <t>QB-240098</t>
  </si>
  <si>
    <t>QB-240099</t>
  </si>
  <si>
    <t>QB-240100</t>
  </si>
  <si>
    <t>QB-240101</t>
  </si>
  <si>
    <t>QB-240102</t>
  </si>
  <si>
    <t>QB-240103</t>
  </si>
  <si>
    <t>QB-240104</t>
  </si>
  <si>
    <t>QB-240105</t>
  </si>
  <si>
    <t>QB-240106</t>
  </si>
  <si>
    <t>QB-240107</t>
  </si>
  <si>
    <t>QB-240108</t>
  </si>
  <si>
    <t>QB-240109</t>
  </si>
  <si>
    <t>QB-240110</t>
  </si>
  <si>
    <t>QB-240111</t>
  </si>
  <si>
    <t>QB-240112</t>
  </si>
  <si>
    <t>QB-240113</t>
  </si>
  <si>
    <t>QB-240114</t>
  </si>
  <si>
    <t>QB-240115</t>
  </si>
  <si>
    <t>QB-240116</t>
  </si>
  <si>
    <t>QB-240117</t>
  </si>
  <si>
    <t>QB-240118</t>
  </si>
  <si>
    <t>QB-240119</t>
  </si>
  <si>
    <t>QB-240120</t>
  </si>
  <si>
    <t>QB-240121</t>
  </si>
  <si>
    <t>QB-240122</t>
  </si>
  <si>
    <t>QB-240123</t>
  </si>
  <si>
    <t>QB-240124</t>
  </si>
  <si>
    <t>QB-240125</t>
  </si>
  <si>
    <t>QB-240126</t>
  </si>
  <si>
    <t>QB-240127</t>
  </si>
  <si>
    <t>QB-240128</t>
  </si>
  <si>
    <t>QB-240129</t>
  </si>
  <si>
    <t>QB-240130</t>
  </si>
  <si>
    <t>QB-240131</t>
  </si>
  <si>
    <t>QB-240132</t>
  </si>
  <si>
    <t>QB-240133</t>
  </si>
  <si>
    <t>QB-240134</t>
  </si>
  <si>
    <t>QB-240135</t>
  </si>
  <si>
    <t>QB-240136</t>
  </si>
  <si>
    <t>QB-240137</t>
  </si>
  <si>
    <t>QB-240138</t>
  </si>
  <si>
    <t>QB-240139</t>
  </si>
  <si>
    <t>QB-240140</t>
  </si>
  <si>
    <t>QB-240141</t>
  </si>
  <si>
    <t>QB-240142</t>
  </si>
  <si>
    <t>QB-240143</t>
  </si>
  <si>
    <t>QB-240144</t>
  </si>
  <si>
    <t>QB-240145</t>
  </si>
  <si>
    <t>QB-240146</t>
  </si>
  <si>
    <t>QB-240147</t>
  </si>
  <si>
    <t>QB-240148</t>
  </si>
  <si>
    <t>QB-240149</t>
  </si>
  <si>
    <t>QB-240150</t>
  </si>
  <si>
    <t>Dòng</t>
  </si>
  <si>
    <t>Doanh thu tính được</t>
  </si>
  <si>
    <t>Kết quả đúng/sai</t>
  </si>
  <si>
    <t>Nguyên nhân</t>
  </si>
  <si>
    <t>Đúng</t>
  </si>
  <si>
    <t>Công thức đúng</t>
  </si>
  <si>
    <t>Sai</t>
  </si>
  <si>
    <t>Thiếu Số lượng</t>
  </si>
  <si>
    <t>Thiếu Đơn giá</t>
  </si>
  <si>
    <t>Số lượng âm</t>
  </si>
  <si>
    <t>Dữ liệu hợp lệ</t>
  </si>
  <si>
    <t>Câu hỏi</t>
  </si>
  <si>
    <t>Câu trả lời</t>
  </si>
  <si>
    <t>Công thức tính Doanh thu</t>
  </si>
  <si>
    <t>Tổng doanh thu toàn bộ file</t>
  </si>
  <si>
    <t>Số dòng Doanh thu = 0 hoặc âm</t>
  </si>
  <si>
    <t>Ảnh hưởng nếu giữ nguyên dòng lỗi</t>
  </si>
  <si>
    <t>Làm sai lệch KPI và giảm tổng doanh thu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</si>
</sst>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[$-1010000]d/m/yyyy;@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</font>
    <font>
      <sz val="12"/>
      <color rgb="FF1A1C1E"/>
      <name val="Arial"/>
    </font>
    <font>
      <sz val="12"/>
      <color theme="1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167" fontId="1" fillId="0" borderId="1" xfId="0" applyNumberFormat="1" applyFont="1" applyBorder="1" applyAlignment="1">
      <alignment horizontal="center" vertical="top"/>
    </xf>
    <xf numFmtId="167" fontId="3" fillId="0" borderId="0" xfId="0" applyNumberFormat="1" applyFont="1" applyAlignment="1">
      <alignment vertical="center" wrapText="1"/>
    </xf>
    <xf numFmtId="167" fontId="4" fillId="0" borderId="0" xfId="0" applyNumberFormat="1" applyFont="1"/>
    <xf numFmtId="167" fontId="0" fillId="0" borderId="0" xfId="0" applyNumberFormat="1"/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10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numFmt numFmtId="167" formatCode="[$-1010000]d/m/yyyy;@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A2CA131-E2E7-4A95-A9DC-8370544D6B11}" name="Table1" displayName="Table1" ref="A1:K152" totalsRowShown="0" headerRowDxfId="7" headerRowBorderDxfId="8" tableBorderDxfId="9">
  <autoFilter ref="A1:K152" xr:uid="{7A2CA131-E2E7-4A95-A9DC-8370544D6B11}"/>
  <tableColumns count="11">
    <tableColumn id="1" xr3:uid="{E7D39155-EFFC-4EB2-A036-86681CD2202E}" name="Mã đơn hàng"/>
    <tableColumn id="2" xr3:uid="{91EEE456-801C-4393-B32E-0F489FE71D46}" name="Ngày bán" dataDxfId="6"/>
    <tableColumn id="3" xr3:uid="{013A9D6B-7E5D-455C-906D-93CBB6112D03}" name="Nhân viên"/>
    <tableColumn id="4" xr3:uid="{625146E7-7BE1-4AC4-9F5F-A8CE12ACA5A6}" name="Chi nhánh"/>
    <tableColumn id="5" xr3:uid="{47BF459F-B5F1-43DD-9DB2-7A5F1CE30F09}" name="Tên sản phẩm"/>
    <tableColumn id="6" xr3:uid="{97B6F1AD-AD01-41D3-94FA-869C3DF7FF2E}" name="Danh mục"/>
    <tableColumn id="7" xr3:uid="{D2C6A0B3-20C2-461E-BC51-F1CAE34B3324}" name="Số lượng"/>
    <tableColumn id="8" xr3:uid="{D820DC04-384C-44C0-A8F0-BCAD487BD8AE}" name="Đơn giá"/>
    <tableColumn id="9" xr3:uid="{9C38D48E-0DA1-41FF-853B-3928835E075C}" name="Kênh bán"/>
    <tableColumn id="10" xr3:uid="{87674368-FEF1-4CB9-8705-337A853AE0F7}" name="Ghi chú"/>
    <tableColumn id="11" xr3:uid="{810F0857-F462-4723-AAC6-26E24D520F33}" name="Doanh thu"/>
  </tableColumns>
  <tableStyleInfo name="TableStyleLight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7EA6CF6-7DE4-45C0-B9AC-1D0C453BC73A}" name="Table2" displayName="Table2" ref="A1:F6" totalsRowShown="0" headerRowDxfId="3" headerRowBorderDxfId="4" tableBorderDxfId="5">
  <autoFilter ref="A1:F6" xr:uid="{B7EA6CF6-7DE4-45C0-B9AC-1D0C453BC73A}"/>
  <tableColumns count="6">
    <tableColumn id="1" xr3:uid="{FD35026B-1991-48A4-B8FA-A704FF534384}" name="Dòng"/>
    <tableColumn id="2" xr3:uid="{4CB19622-FFAF-40AB-9EB8-A7D87E0B1623}" name="Số lượng"/>
    <tableColumn id="3" xr3:uid="{6944E70D-55E4-49F6-A9EC-1160F119F7F5}" name="Đơn giá"/>
    <tableColumn id="4" xr3:uid="{BF4CF61D-3ACA-4E4C-BC33-01955377DF99}" name="Doanh thu tính được"/>
    <tableColumn id="5" xr3:uid="{874402C3-D4F9-4350-9783-DB8F93262C4E}" name="Kết quả đúng/sai"/>
    <tableColumn id="6" xr3:uid="{D039A85E-8543-46E2-AA82-251A2166D04A}" name="Nguyên nhân"/>
  </tableColumns>
  <tableStyleInfo name="TableStyleLight10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5A0CBC4-9473-4377-B793-5759E851F142}" name="Table3" displayName="Table3" ref="A1:B5" totalsRowShown="0" headerRowDxfId="0" headerRowBorderDxfId="1" tableBorderDxfId="2">
  <autoFilter ref="A1:B5" xr:uid="{25A0CBC4-9473-4377-B793-5759E851F142}"/>
  <tableColumns count="2">
    <tableColumn id="1" xr3:uid="{A61FE70A-030A-4EB4-9A38-E2D4EDE9A0EE}" name="Câu hỏi"/>
    <tableColumn id="2" xr3:uid="{70A844DC-FB6B-44CA-93F3-1BA351362019}" name="Câu trả lời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1"/>
  <sheetViews>
    <sheetView workbookViewId="0">
      <selection activeCell="B12" sqref="B12"/>
    </sheetView>
  </sheetViews>
  <sheetFormatPr defaultRowHeight="15" x14ac:dyDescent="0.25"/>
  <cols>
    <col min="1" max="1" width="15" customWidth="1"/>
    <col min="2" max="2" width="18.28515625" style="5" bestFit="1" customWidth="1"/>
    <col min="3" max="3" width="17.28515625" bestFit="1" customWidth="1"/>
    <col min="4" max="4" width="12" customWidth="1"/>
    <col min="5" max="5" width="18.85546875" bestFit="1" customWidth="1"/>
    <col min="6" max="6" width="11.85546875" customWidth="1"/>
    <col min="7" max="7" width="11.28515625" customWidth="1"/>
    <col min="8" max="8" width="10.140625" customWidth="1"/>
    <col min="9" max="9" width="11.42578125" customWidth="1"/>
    <col min="10" max="10" width="9.85546875" customWidth="1"/>
    <col min="11" max="11" width="12.28515625" customWidth="1"/>
  </cols>
  <sheetData>
    <row r="1" spans="1:11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s="3">
        <v>44958</v>
      </c>
      <c r="C2" t="s">
        <v>12</v>
      </c>
      <c r="D2" t="s">
        <v>13</v>
      </c>
      <c r="E2" t="s">
        <v>14</v>
      </c>
      <c r="F2" t="s">
        <v>15</v>
      </c>
      <c r="G2">
        <v>3</v>
      </c>
      <c r="H2">
        <v>55000</v>
      </c>
      <c r="I2" t="s">
        <v>16</v>
      </c>
      <c r="K2">
        <v>165000</v>
      </c>
    </row>
    <row r="3" spans="1:11" x14ac:dyDescent="0.25">
      <c r="A3" t="s">
        <v>17</v>
      </c>
      <c r="B3" s="3">
        <v>44986</v>
      </c>
      <c r="C3" t="s">
        <v>18</v>
      </c>
      <c r="D3" t="s">
        <v>19</v>
      </c>
      <c r="E3" t="s">
        <v>20</v>
      </c>
      <c r="F3" t="s">
        <v>15</v>
      </c>
      <c r="G3">
        <v>5</v>
      </c>
      <c r="H3">
        <v>45000</v>
      </c>
      <c r="I3" t="s">
        <v>16</v>
      </c>
      <c r="J3" t="s">
        <v>21</v>
      </c>
      <c r="K3">
        <v>225000</v>
      </c>
    </row>
    <row r="4" spans="1:11" x14ac:dyDescent="0.25">
      <c r="A4" t="s">
        <v>22</v>
      </c>
      <c r="B4" s="3">
        <v>44986</v>
      </c>
      <c r="C4" t="s">
        <v>12</v>
      </c>
      <c r="D4" t="s">
        <v>13</v>
      </c>
      <c r="E4" t="s">
        <v>14</v>
      </c>
      <c r="F4" t="s">
        <v>15</v>
      </c>
      <c r="G4">
        <v>1</v>
      </c>
      <c r="H4">
        <v>55000</v>
      </c>
      <c r="I4" t="s">
        <v>16</v>
      </c>
      <c r="K4">
        <v>55000</v>
      </c>
    </row>
    <row r="5" spans="1:11" x14ac:dyDescent="0.25">
      <c r="A5" t="s">
        <v>23</v>
      </c>
      <c r="B5" s="3">
        <v>45017</v>
      </c>
      <c r="C5" t="s">
        <v>24</v>
      </c>
      <c r="D5" t="s">
        <v>19</v>
      </c>
      <c r="E5" t="s">
        <v>14</v>
      </c>
      <c r="F5" t="s">
        <v>15</v>
      </c>
      <c r="G5">
        <v>5</v>
      </c>
      <c r="H5">
        <v>55000</v>
      </c>
      <c r="I5" t="s">
        <v>16</v>
      </c>
      <c r="J5" t="s">
        <v>25</v>
      </c>
      <c r="K5">
        <v>275000</v>
      </c>
    </row>
    <row r="6" spans="1:11" x14ac:dyDescent="0.25">
      <c r="A6" t="s">
        <v>26</v>
      </c>
      <c r="B6" s="3">
        <v>45047</v>
      </c>
      <c r="C6" t="s">
        <v>27</v>
      </c>
      <c r="D6" t="s">
        <v>13</v>
      </c>
      <c r="E6" t="s">
        <v>28</v>
      </c>
      <c r="F6" t="s">
        <v>29</v>
      </c>
      <c r="G6">
        <v>5</v>
      </c>
      <c r="H6">
        <v>129000</v>
      </c>
      <c r="I6" t="s">
        <v>30</v>
      </c>
      <c r="K6">
        <v>645000</v>
      </c>
    </row>
    <row r="7" spans="1:11" x14ac:dyDescent="0.25">
      <c r="A7" t="s">
        <v>31</v>
      </c>
      <c r="B7" s="3">
        <v>45047</v>
      </c>
      <c r="C7" t="s">
        <v>18</v>
      </c>
      <c r="D7" t="s">
        <v>19</v>
      </c>
      <c r="E7" t="s">
        <v>32</v>
      </c>
      <c r="F7" t="s">
        <v>29</v>
      </c>
      <c r="G7">
        <v>3</v>
      </c>
      <c r="H7">
        <v>59000</v>
      </c>
      <c r="I7" t="s">
        <v>30</v>
      </c>
      <c r="K7">
        <v>177000</v>
      </c>
    </row>
    <row r="8" spans="1:11" x14ac:dyDescent="0.25">
      <c r="A8" t="s">
        <v>33</v>
      </c>
      <c r="B8" s="3">
        <v>45078</v>
      </c>
      <c r="C8" t="s">
        <v>34</v>
      </c>
      <c r="D8" t="s">
        <v>35</v>
      </c>
      <c r="E8" t="s">
        <v>20</v>
      </c>
      <c r="F8" t="s">
        <v>15</v>
      </c>
      <c r="G8">
        <v>1</v>
      </c>
      <c r="H8">
        <v>45000</v>
      </c>
      <c r="I8" t="s">
        <v>30</v>
      </c>
      <c r="K8">
        <v>45000</v>
      </c>
    </row>
    <row r="9" spans="1:11" x14ac:dyDescent="0.25">
      <c r="A9" t="s">
        <v>36</v>
      </c>
      <c r="B9" s="3">
        <v>45108</v>
      </c>
      <c r="C9" t="s">
        <v>34</v>
      </c>
      <c r="D9" t="s">
        <v>35</v>
      </c>
      <c r="E9" t="s">
        <v>37</v>
      </c>
      <c r="F9" t="s">
        <v>38</v>
      </c>
      <c r="G9">
        <v>3</v>
      </c>
      <c r="H9">
        <v>25000</v>
      </c>
      <c r="I9" t="s">
        <v>16</v>
      </c>
      <c r="J9" t="s">
        <v>39</v>
      </c>
      <c r="K9">
        <v>75000</v>
      </c>
    </row>
    <row r="10" spans="1:11" x14ac:dyDescent="0.25">
      <c r="A10" t="s">
        <v>40</v>
      </c>
      <c r="B10" s="3">
        <v>45139</v>
      </c>
      <c r="C10" t="s">
        <v>12</v>
      </c>
      <c r="D10" t="s">
        <v>13</v>
      </c>
      <c r="E10" t="s">
        <v>41</v>
      </c>
      <c r="F10" t="s">
        <v>42</v>
      </c>
      <c r="G10">
        <v>4</v>
      </c>
      <c r="H10">
        <v>25000</v>
      </c>
      <c r="I10" t="s">
        <v>16</v>
      </c>
      <c r="J10" t="s">
        <v>25</v>
      </c>
      <c r="K10">
        <v>100000</v>
      </c>
    </row>
    <row r="11" spans="1:11" x14ac:dyDescent="0.25">
      <c r="A11" t="s">
        <v>43</v>
      </c>
      <c r="B11" s="3">
        <v>45139</v>
      </c>
      <c r="C11" t="s">
        <v>18</v>
      </c>
      <c r="D11" t="s">
        <v>19</v>
      </c>
      <c r="E11" t="s">
        <v>37</v>
      </c>
      <c r="F11" t="s">
        <v>38</v>
      </c>
      <c r="G11">
        <v>3</v>
      </c>
      <c r="H11">
        <v>25000</v>
      </c>
      <c r="I11" t="s">
        <v>44</v>
      </c>
      <c r="K11">
        <v>75000</v>
      </c>
    </row>
    <row r="12" spans="1:11" x14ac:dyDescent="0.25">
      <c r="A12" t="s">
        <v>45</v>
      </c>
      <c r="B12" s="3">
        <v>45170</v>
      </c>
      <c r="C12" t="s">
        <v>12</v>
      </c>
      <c r="D12" t="s">
        <v>13</v>
      </c>
      <c r="E12" t="s">
        <v>14</v>
      </c>
      <c r="F12" t="s">
        <v>15</v>
      </c>
      <c r="G12">
        <v>2</v>
      </c>
      <c r="H12">
        <v>55000</v>
      </c>
      <c r="I12" t="s">
        <v>30</v>
      </c>
      <c r="K12">
        <v>110000</v>
      </c>
    </row>
    <row r="13" spans="1:11" x14ac:dyDescent="0.25">
      <c r="A13" t="s">
        <v>46</v>
      </c>
      <c r="B13" s="3">
        <v>45200</v>
      </c>
      <c r="C13" t="s">
        <v>12</v>
      </c>
      <c r="D13" t="s">
        <v>13</v>
      </c>
      <c r="E13" t="s">
        <v>32</v>
      </c>
      <c r="F13" t="s">
        <v>29</v>
      </c>
      <c r="G13">
        <v>3</v>
      </c>
      <c r="H13">
        <v>59000</v>
      </c>
      <c r="I13" t="s">
        <v>30</v>
      </c>
      <c r="J13" t="s">
        <v>47</v>
      </c>
      <c r="K13">
        <v>177000</v>
      </c>
    </row>
    <row r="14" spans="1:11" x14ac:dyDescent="0.25">
      <c r="A14" t="s">
        <v>48</v>
      </c>
      <c r="B14" s="3">
        <v>45231</v>
      </c>
      <c r="C14" t="s">
        <v>34</v>
      </c>
      <c r="D14" t="s">
        <v>35</v>
      </c>
      <c r="E14" t="s">
        <v>49</v>
      </c>
      <c r="F14" t="s">
        <v>50</v>
      </c>
      <c r="G14">
        <v>2</v>
      </c>
      <c r="H14">
        <v>129000</v>
      </c>
      <c r="I14" t="s">
        <v>44</v>
      </c>
      <c r="K14">
        <v>258000</v>
      </c>
    </row>
    <row r="15" spans="1:11" x14ac:dyDescent="0.25">
      <c r="A15" t="s">
        <v>51</v>
      </c>
      <c r="B15" s="3">
        <v>45261</v>
      </c>
      <c r="C15" t="s">
        <v>18</v>
      </c>
      <c r="D15" t="s">
        <v>19</v>
      </c>
      <c r="E15" t="s">
        <v>52</v>
      </c>
      <c r="F15" t="s">
        <v>38</v>
      </c>
      <c r="G15">
        <v>1</v>
      </c>
      <c r="H15">
        <v>35000</v>
      </c>
      <c r="I15" t="s">
        <v>44</v>
      </c>
      <c r="K15">
        <v>35000</v>
      </c>
    </row>
    <row r="16" spans="1:11" x14ac:dyDescent="0.25">
      <c r="A16" t="s">
        <v>53</v>
      </c>
      <c r="B16" s="3">
        <v>45261</v>
      </c>
      <c r="C16" t="s">
        <v>18</v>
      </c>
      <c r="D16" t="s">
        <v>19</v>
      </c>
      <c r="E16" t="s">
        <v>54</v>
      </c>
      <c r="F16" t="s">
        <v>50</v>
      </c>
      <c r="G16">
        <v>2</v>
      </c>
      <c r="H16">
        <v>189000</v>
      </c>
      <c r="I16" t="s">
        <v>30</v>
      </c>
      <c r="J16" t="s">
        <v>55</v>
      </c>
      <c r="K16">
        <v>378000</v>
      </c>
    </row>
    <row r="17" spans="1:11" x14ac:dyDescent="0.25">
      <c r="A17" t="s">
        <v>56</v>
      </c>
      <c r="B17" s="3">
        <v>44939</v>
      </c>
      <c r="C17" t="s">
        <v>18</v>
      </c>
      <c r="D17" t="s">
        <v>19</v>
      </c>
      <c r="E17" t="s">
        <v>57</v>
      </c>
      <c r="F17" t="s">
        <v>38</v>
      </c>
      <c r="G17">
        <v>5</v>
      </c>
      <c r="H17">
        <v>39000</v>
      </c>
      <c r="I17" t="s">
        <v>16</v>
      </c>
      <c r="J17" t="s">
        <v>47</v>
      </c>
      <c r="K17">
        <v>195000</v>
      </c>
    </row>
    <row r="18" spans="1:11" x14ac:dyDescent="0.25">
      <c r="A18" t="s">
        <v>58</v>
      </c>
      <c r="B18" s="3">
        <v>44940</v>
      </c>
      <c r="C18" t="s">
        <v>27</v>
      </c>
      <c r="D18" t="s">
        <v>13</v>
      </c>
      <c r="E18" t="s">
        <v>59</v>
      </c>
      <c r="F18" t="s">
        <v>42</v>
      </c>
      <c r="G18">
        <v>1</v>
      </c>
      <c r="H18">
        <v>18000</v>
      </c>
      <c r="I18" t="s">
        <v>30</v>
      </c>
      <c r="J18" t="s">
        <v>55</v>
      </c>
      <c r="K18">
        <v>18000</v>
      </c>
    </row>
    <row r="19" spans="1:11" x14ac:dyDescent="0.25">
      <c r="A19" t="s">
        <v>60</v>
      </c>
      <c r="B19" s="3">
        <v>44941</v>
      </c>
      <c r="C19" t="s">
        <v>12</v>
      </c>
      <c r="D19" t="s">
        <v>13</v>
      </c>
      <c r="E19" t="s">
        <v>54</v>
      </c>
      <c r="F19" t="s">
        <v>50</v>
      </c>
      <c r="G19">
        <v>5</v>
      </c>
      <c r="H19">
        <v>189000</v>
      </c>
      <c r="I19" t="s">
        <v>44</v>
      </c>
      <c r="J19" t="s">
        <v>47</v>
      </c>
      <c r="K19">
        <v>945000</v>
      </c>
    </row>
    <row r="20" spans="1:11" x14ac:dyDescent="0.25">
      <c r="A20" t="s">
        <v>61</v>
      </c>
      <c r="B20" s="3">
        <v>44941</v>
      </c>
      <c r="C20" t="s">
        <v>18</v>
      </c>
      <c r="D20" t="s">
        <v>19</v>
      </c>
      <c r="E20" t="s">
        <v>28</v>
      </c>
      <c r="F20" t="s">
        <v>29</v>
      </c>
      <c r="G20">
        <v>4</v>
      </c>
      <c r="H20">
        <v>129000</v>
      </c>
      <c r="I20" t="s">
        <v>44</v>
      </c>
      <c r="J20" t="s">
        <v>39</v>
      </c>
      <c r="K20">
        <v>516000</v>
      </c>
    </row>
    <row r="21" spans="1:11" x14ac:dyDescent="0.25">
      <c r="A21" t="s">
        <v>62</v>
      </c>
      <c r="B21" s="3">
        <v>44942</v>
      </c>
      <c r="C21" t="s">
        <v>34</v>
      </c>
      <c r="D21" t="s">
        <v>35</v>
      </c>
      <c r="E21" t="s">
        <v>63</v>
      </c>
      <c r="F21" t="s">
        <v>15</v>
      </c>
      <c r="G21">
        <v>2</v>
      </c>
      <c r="H21">
        <v>65000</v>
      </c>
      <c r="I21" t="s">
        <v>44</v>
      </c>
      <c r="J21" t="s">
        <v>25</v>
      </c>
      <c r="K21">
        <v>130000</v>
      </c>
    </row>
    <row r="22" spans="1:11" x14ac:dyDescent="0.25">
      <c r="A22" t="s">
        <v>64</v>
      </c>
      <c r="B22" s="3">
        <v>44943</v>
      </c>
      <c r="C22" t="s">
        <v>34</v>
      </c>
      <c r="D22" t="s">
        <v>35</v>
      </c>
      <c r="E22" t="s">
        <v>57</v>
      </c>
      <c r="F22" t="s">
        <v>38</v>
      </c>
      <c r="G22">
        <v>5</v>
      </c>
      <c r="H22">
        <v>39000</v>
      </c>
      <c r="I22" t="s">
        <v>30</v>
      </c>
      <c r="J22" t="s">
        <v>21</v>
      </c>
      <c r="K22">
        <v>195000</v>
      </c>
    </row>
    <row r="23" spans="1:11" x14ac:dyDescent="0.25">
      <c r="A23" t="s">
        <v>65</v>
      </c>
      <c r="B23" s="3">
        <v>44944</v>
      </c>
      <c r="C23" t="s">
        <v>34</v>
      </c>
      <c r="D23" t="s">
        <v>35</v>
      </c>
      <c r="E23" t="s">
        <v>54</v>
      </c>
      <c r="F23" t="s">
        <v>50</v>
      </c>
      <c r="G23">
        <v>2</v>
      </c>
      <c r="H23">
        <v>189000</v>
      </c>
      <c r="I23" t="s">
        <v>44</v>
      </c>
      <c r="J23" t="s">
        <v>39</v>
      </c>
      <c r="K23">
        <v>378000</v>
      </c>
    </row>
    <row r="24" spans="1:11" x14ac:dyDescent="0.25">
      <c r="A24" t="s">
        <v>66</v>
      </c>
      <c r="B24" s="3">
        <v>44944</v>
      </c>
      <c r="C24" t="s">
        <v>12</v>
      </c>
      <c r="D24" t="s">
        <v>13</v>
      </c>
      <c r="E24" t="s">
        <v>59</v>
      </c>
      <c r="F24" t="s">
        <v>42</v>
      </c>
      <c r="G24">
        <v>1</v>
      </c>
      <c r="H24">
        <v>18000</v>
      </c>
      <c r="I24" t="s">
        <v>16</v>
      </c>
      <c r="K24">
        <v>18000</v>
      </c>
    </row>
    <row r="25" spans="1:11" x14ac:dyDescent="0.25">
      <c r="A25" t="s">
        <v>67</v>
      </c>
      <c r="B25" s="3">
        <v>44945</v>
      </c>
      <c r="C25" t="s">
        <v>68</v>
      </c>
      <c r="D25" t="s">
        <v>35</v>
      </c>
      <c r="E25" t="s">
        <v>37</v>
      </c>
      <c r="F25" t="s">
        <v>38</v>
      </c>
      <c r="H25">
        <v>25000</v>
      </c>
      <c r="I25" t="s">
        <v>30</v>
      </c>
      <c r="J25" t="s">
        <v>55</v>
      </c>
      <c r="K25">
        <v>0</v>
      </c>
    </row>
    <row r="26" spans="1:11" x14ac:dyDescent="0.25">
      <c r="A26" t="s">
        <v>69</v>
      </c>
      <c r="B26" s="3">
        <v>44946</v>
      </c>
      <c r="C26" t="s">
        <v>68</v>
      </c>
      <c r="D26" t="s">
        <v>35</v>
      </c>
      <c r="E26" t="s">
        <v>70</v>
      </c>
      <c r="F26" t="s">
        <v>29</v>
      </c>
      <c r="G26">
        <v>3</v>
      </c>
      <c r="H26">
        <v>79000</v>
      </c>
      <c r="I26" t="s">
        <v>44</v>
      </c>
      <c r="K26">
        <v>237000</v>
      </c>
    </row>
    <row r="27" spans="1:11" x14ac:dyDescent="0.25">
      <c r="A27" t="s">
        <v>71</v>
      </c>
      <c r="B27" s="3">
        <v>44946</v>
      </c>
      <c r="C27" t="s">
        <v>18</v>
      </c>
      <c r="D27" t="s">
        <v>19</v>
      </c>
      <c r="E27" t="s">
        <v>20</v>
      </c>
      <c r="F27" t="s">
        <v>15</v>
      </c>
      <c r="G27">
        <v>5</v>
      </c>
      <c r="H27">
        <v>45000</v>
      </c>
      <c r="I27" t="s">
        <v>30</v>
      </c>
      <c r="J27" t="s">
        <v>47</v>
      </c>
      <c r="K27">
        <v>225000</v>
      </c>
    </row>
    <row r="28" spans="1:11" x14ac:dyDescent="0.25">
      <c r="A28" t="s">
        <v>72</v>
      </c>
      <c r="B28" s="3">
        <v>44947</v>
      </c>
      <c r="C28" t="s">
        <v>34</v>
      </c>
      <c r="D28" t="s">
        <v>35</v>
      </c>
      <c r="E28" t="s">
        <v>32</v>
      </c>
      <c r="F28" t="s">
        <v>29</v>
      </c>
      <c r="G28">
        <v>2</v>
      </c>
      <c r="H28">
        <v>59000</v>
      </c>
      <c r="I28" t="s">
        <v>30</v>
      </c>
      <c r="K28">
        <v>118000</v>
      </c>
    </row>
    <row r="29" spans="1:11" x14ac:dyDescent="0.25">
      <c r="A29" t="s">
        <v>73</v>
      </c>
      <c r="B29" s="3">
        <v>44948</v>
      </c>
      <c r="C29" t="s">
        <v>24</v>
      </c>
      <c r="D29" t="s">
        <v>19</v>
      </c>
      <c r="E29" t="s">
        <v>74</v>
      </c>
      <c r="F29" t="s">
        <v>42</v>
      </c>
      <c r="G29">
        <v>2</v>
      </c>
      <c r="H29">
        <v>18000</v>
      </c>
      <c r="I29" t="s">
        <v>44</v>
      </c>
      <c r="K29">
        <v>36000</v>
      </c>
    </row>
    <row r="30" spans="1:11" x14ac:dyDescent="0.25">
      <c r="A30" t="s">
        <v>75</v>
      </c>
      <c r="B30" s="3">
        <v>44949</v>
      </c>
      <c r="C30" t="s">
        <v>34</v>
      </c>
      <c r="D30" t="s">
        <v>35</v>
      </c>
      <c r="E30" t="s">
        <v>59</v>
      </c>
      <c r="F30" t="s">
        <v>42</v>
      </c>
      <c r="G30">
        <v>5</v>
      </c>
      <c r="H30">
        <v>18000</v>
      </c>
      <c r="I30" t="s">
        <v>44</v>
      </c>
      <c r="K30">
        <v>90000</v>
      </c>
    </row>
    <row r="31" spans="1:11" x14ac:dyDescent="0.25">
      <c r="A31" t="s">
        <v>76</v>
      </c>
      <c r="B31" s="3">
        <v>44949</v>
      </c>
      <c r="C31" t="s">
        <v>34</v>
      </c>
      <c r="D31" t="s">
        <v>35</v>
      </c>
      <c r="E31" t="s">
        <v>74</v>
      </c>
      <c r="F31" t="s">
        <v>42</v>
      </c>
      <c r="G31">
        <v>2</v>
      </c>
      <c r="H31">
        <v>18000</v>
      </c>
      <c r="I31" t="s">
        <v>44</v>
      </c>
      <c r="J31" t="s">
        <v>25</v>
      </c>
      <c r="K31">
        <v>36000</v>
      </c>
    </row>
    <row r="32" spans="1:11" x14ac:dyDescent="0.25">
      <c r="A32" t="s">
        <v>77</v>
      </c>
      <c r="B32" s="3">
        <v>44950</v>
      </c>
      <c r="C32" t="s">
        <v>24</v>
      </c>
      <c r="D32" t="s">
        <v>19</v>
      </c>
      <c r="E32" t="s">
        <v>49</v>
      </c>
      <c r="F32" t="s">
        <v>50</v>
      </c>
      <c r="G32">
        <v>4</v>
      </c>
      <c r="H32">
        <v>129000</v>
      </c>
      <c r="I32" t="s">
        <v>16</v>
      </c>
      <c r="K32">
        <v>516000</v>
      </c>
    </row>
    <row r="33" spans="1:11" x14ac:dyDescent="0.25">
      <c r="A33" t="s">
        <v>78</v>
      </c>
      <c r="B33" s="3">
        <v>44928</v>
      </c>
      <c r="C33" t="s">
        <v>34</v>
      </c>
      <c r="D33" t="s">
        <v>35</v>
      </c>
      <c r="E33" t="s">
        <v>54</v>
      </c>
      <c r="F33" t="s">
        <v>50</v>
      </c>
      <c r="G33">
        <v>1</v>
      </c>
      <c r="H33">
        <v>189000</v>
      </c>
      <c r="I33" t="s">
        <v>16</v>
      </c>
      <c r="J33" t="s">
        <v>21</v>
      </c>
      <c r="K33">
        <v>189000</v>
      </c>
    </row>
    <row r="34" spans="1:11" x14ac:dyDescent="0.25">
      <c r="A34" t="s">
        <v>79</v>
      </c>
      <c r="B34" s="3">
        <v>44959</v>
      </c>
      <c r="C34" t="s">
        <v>12</v>
      </c>
      <c r="D34" t="s">
        <v>13</v>
      </c>
      <c r="E34" t="s">
        <v>57</v>
      </c>
      <c r="F34" t="s">
        <v>38</v>
      </c>
      <c r="G34">
        <v>4</v>
      </c>
      <c r="H34">
        <v>39000</v>
      </c>
      <c r="I34" t="s">
        <v>16</v>
      </c>
      <c r="J34" t="s">
        <v>25</v>
      </c>
      <c r="K34">
        <v>156000</v>
      </c>
    </row>
    <row r="35" spans="1:11" x14ac:dyDescent="0.25">
      <c r="A35" t="s">
        <v>80</v>
      </c>
      <c r="B35" s="3">
        <v>44959</v>
      </c>
      <c r="C35" t="s">
        <v>27</v>
      </c>
      <c r="D35" t="s">
        <v>13</v>
      </c>
      <c r="E35" t="s">
        <v>52</v>
      </c>
      <c r="F35" t="s">
        <v>38</v>
      </c>
      <c r="G35">
        <v>4</v>
      </c>
      <c r="H35">
        <v>35000</v>
      </c>
      <c r="I35" t="s">
        <v>44</v>
      </c>
      <c r="K35">
        <v>140000</v>
      </c>
    </row>
    <row r="36" spans="1:11" x14ac:dyDescent="0.25">
      <c r="A36" t="s">
        <v>81</v>
      </c>
      <c r="B36" s="3">
        <v>44987</v>
      </c>
      <c r="C36" t="s">
        <v>24</v>
      </c>
      <c r="D36" t="s">
        <v>19</v>
      </c>
      <c r="E36" t="s">
        <v>59</v>
      </c>
      <c r="F36" t="s">
        <v>42</v>
      </c>
      <c r="G36">
        <v>5</v>
      </c>
      <c r="H36">
        <v>18000</v>
      </c>
      <c r="I36" t="s">
        <v>30</v>
      </c>
      <c r="K36">
        <v>90000</v>
      </c>
    </row>
    <row r="37" spans="1:11" x14ac:dyDescent="0.25">
      <c r="A37" t="s">
        <v>82</v>
      </c>
      <c r="B37" s="3">
        <v>45018</v>
      </c>
      <c r="C37" t="s">
        <v>18</v>
      </c>
      <c r="D37" t="s">
        <v>19</v>
      </c>
      <c r="E37" t="s">
        <v>57</v>
      </c>
      <c r="F37" t="s">
        <v>38</v>
      </c>
      <c r="G37">
        <v>2</v>
      </c>
      <c r="H37">
        <v>39000</v>
      </c>
      <c r="I37" t="s">
        <v>44</v>
      </c>
      <c r="K37">
        <v>78000</v>
      </c>
    </row>
    <row r="38" spans="1:11" x14ac:dyDescent="0.25">
      <c r="A38" t="s">
        <v>83</v>
      </c>
      <c r="B38" s="3">
        <v>45048</v>
      </c>
      <c r="C38" t="s">
        <v>18</v>
      </c>
      <c r="D38" t="s">
        <v>19</v>
      </c>
      <c r="E38" t="s">
        <v>52</v>
      </c>
      <c r="F38" t="s">
        <v>38</v>
      </c>
      <c r="G38">
        <v>3</v>
      </c>
      <c r="H38">
        <v>35000</v>
      </c>
      <c r="I38" t="s">
        <v>30</v>
      </c>
      <c r="J38" t="s">
        <v>25</v>
      </c>
      <c r="K38">
        <v>105000</v>
      </c>
    </row>
    <row r="39" spans="1:11" x14ac:dyDescent="0.25">
      <c r="A39" t="s">
        <v>84</v>
      </c>
      <c r="B39" s="3">
        <v>45048</v>
      </c>
      <c r="C39" t="s">
        <v>12</v>
      </c>
      <c r="D39" t="s">
        <v>13</v>
      </c>
      <c r="E39" t="s">
        <v>54</v>
      </c>
      <c r="F39" t="s">
        <v>50</v>
      </c>
      <c r="G39">
        <v>2</v>
      </c>
      <c r="H39">
        <v>189000</v>
      </c>
      <c r="I39" t="s">
        <v>16</v>
      </c>
      <c r="J39" t="s">
        <v>47</v>
      </c>
      <c r="K39">
        <v>378000</v>
      </c>
    </row>
    <row r="40" spans="1:11" x14ac:dyDescent="0.25">
      <c r="A40" t="s">
        <v>85</v>
      </c>
      <c r="B40" s="3">
        <v>45079</v>
      </c>
      <c r="C40" t="s">
        <v>24</v>
      </c>
      <c r="D40" t="s">
        <v>19</v>
      </c>
      <c r="E40" t="s">
        <v>70</v>
      </c>
      <c r="F40" t="s">
        <v>29</v>
      </c>
      <c r="G40">
        <v>2</v>
      </c>
      <c r="H40">
        <v>79000</v>
      </c>
      <c r="I40" t="s">
        <v>44</v>
      </c>
      <c r="K40">
        <v>158000</v>
      </c>
    </row>
    <row r="41" spans="1:11" x14ac:dyDescent="0.25">
      <c r="A41" t="s">
        <v>86</v>
      </c>
      <c r="B41" s="3">
        <v>45109</v>
      </c>
      <c r="C41" t="s">
        <v>12</v>
      </c>
      <c r="D41" t="s">
        <v>13</v>
      </c>
      <c r="E41" t="s">
        <v>57</v>
      </c>
      <c r="F41" t="s">
        <v>38</v>
      </c>
      <c r="G41">
        <v>1</v>
      </c>
      <c r="H41">
        <v>39000</v>
      </c>
      <c r="I41" t="s">
        <v>16</v>
      </c>
      <c r="K41">
        <v>39000</v>
      </c>
    </row>
    <row r="42" spans="1:11" x14ac:dyDescent="0.25">
      <c r="A42" t="s">
        <v>87</v>
      </c>
      <c r="B42" s="3">
        <v>45140</v>
      </c>
      <c r="C42" t="s">
        <v>34</v>
      </c>
      <c r="D42" t="s">
        <v>35</v>
      </c>
      <c r="E42" t="s">
        <v>20</v>
      </c>
      <c r="F42" t="s">
        <v>15</v>
      </c>
      <c r="G42">
        <v>5</v>
      </c>
      <c r="I42" t="s">
        <v>16</v>
      </c>
      <c r="K42">
        <v>0</v>
      </c>
    </row>
    <row r="43" spans="1:11" x14ac:dyDescent="0.25">
      <c r="A43" t="s">
        <v>88</v>
      </c>
      <c r="B43" s="3">
        <v>45140</v>
      </c>
      <c r="C43" t="s">
        <v>68</v>
      </c>
      <c r="D43" t="s">
        <v>35</v>
      </c>
      <c r="E43" t="s">
        <v>54</v>
      </c>
      <c r="F43" t="s">
        <v>50</v>
      </c>
      <c r="G43">
        <v>5</v>
      </c>
      <c r="H43">
        <v>189000</v>
      </c>
      <c r="I43" t="s">
        <v>16</v>
      </c>
      <c r="J43" t="s">
        <v>21</v>
      </c>
      <c r="K43">
        <v>945000</v>
      </c>
    </row>
    <row r="44" spans="1:11" x14ac:dyDescent="0.25">
      <c r="A44" t="s">
        <v>89</v>
      </c>
      <c r="B44" s="3">
        <v>45171</v>
      </c>
      <c r="C44" t="s">
        <v>68</v>
      </c>
      <c r="D44" t="s">
        <v>35</v>
      </c>
      <c r="E44" t="s">
        <v>54</v>
      </c>
      <c r="F44" t="s">
        <v>50</v>
      </c>
      <c r="G44">
        <v>4</v>
      </c>
      <c r="H44">
        <v>189000</v>
      </c>
      <c r="I44" t="s">
        <v>30</v>
      </c>
      <c r="K44">
        <v>756000</v>
      </c>
    </row>
    <row r="45" spans="1:11" x14ac:dyDescent="0.25">
      <c r="A45" t="s">
        <v>90</v>
      </c>
      <c r="B45" s="3">
        <v>45201</v>
      </c>
      <c r="C45" t="s">
        <v>12</v>
      </c>
      <c r="D45" t="s">
        <v>13</v>
      </c>
      <c r="E45" t="s">
        <v>52</v>
      </c>
      <c r="F45" t="s">
        <v>38</v>
      </c>
      <c r="G45">
        <v>4</v>
      </c>
      <c r="H45">
        <v>35000</v>
      </c>
      <c r="I45" t="s">
        <v>30</v>
      </c>
      <c r="J45" t="s">
        <v>55</v>
      </c>
      <c r="K45">
        <v>140000</v>
      </c>
    </row>
    <row r="46" spans="1:11" x14ac:dyDescent="0.25">
      <c r="A46" t="s">
        <v>91</v>
      </c>
      <c r="B46" s="3">
        <v>45232</v>
      </c>
      <c r="C46" t="s">
        <v>68</v>
      </c>
      <c r="D46" t="s">
        <v>35</v>
      </c>
      <c r="E46" t="s">
        <v>59</v>
      </c>
      <c r="F46" t="s">
        <v>42</v>
      </c>
      <c r="G46">
        <v>1</v>
      </c>
      <c r="H46">
        <v>18000</v>
      </c>
      <c r="I46" t="s">
        <v>44</v>
      </c>
      <c r="K46">
        <v>18000</v>
      </c>
    </row>
    <row r="47" spans="1:11" x14ac:dyDescent="0.25">
      <c r="A47" t="s">
        <v>92</v>
      </c>
      <c r="B47" s="3">
        <v>45232</v>
      </c>
      <c r="C47" t="s">
        <v>68</v>
      </c>
      <c r="D47" t="s">
        <v>35</v>
      </c>
      <c r="E47" t="s">
        <v>57</v>
      </c>
      <c r="F47" t="s">
        <v>38</v>
      </c>
      <c r="G47">
        <v>3</v>
      </c>
      <c r="H47">
        <v>39000</v>
      </c>
      <c r="I47" t="s">
        <v>16</v>
      </c>
      <c r="K47">
        <v>117000</v>
      </c>
    </row>
    <row r="48" spans="1:11" x14ac:dyDescent="0.25">
      <c r="A48" t="s">
        <v>93</v>
      </c>
      <c r="B48" s="3">
        <v>45262</v>
      </c>
      <c r="C48" t="s">
        <v>27</v>
      </c>
      <c r="D48" t="s">
        <v>13</v>
      </c>
      <c r="E48" t="s">
        <v>70</v>
      </c>
      <c r="F48" t="s">
        <v>29</v>
      </c>
      <c r="G48">
        <v>4</v>
      </c>
      <c r="H48">
        <v>79000</v>
      </c>
      <c r="I48" t="s">
        <v>16</v>
      </c>
      <c r="J48" t="s">
        <v>55</v>
      </c>
      <c r="K48">
        <v>316000</v>
      </c>
    </row>
    <row r="49" spans="1:11" x14ac:dyDescent="0.25">
      <c r="A49" t="s">
        <v>94</v>
      </c>
      <c r="B49" s="3">
        <v>44970</v>
      </c>
      <c r="C49" t="s">
        <v>34</v>
      </c>
      <c r="D49" t="s">
        <v>35</v>
      </c>
      <c r="E49" t="s">
        <v>28</v>
      </c>
      <c r="F49" t="s">
        <v>29</v>
      </c>
      <c r="G49">
        <v>2</v>
      </c>
      <c r="H49">
        <v>129000</v>
      </c>
      <c r="I49" t="s">
        <v>16</v>
      </c>
      <c r="J49" t="s">
        <v>39</v>
      </c>
      <c r="K49">
        <v>258000</v>
      </c>
    </row>
    <row r="50" spans="1:11" x14ac:dyDescent="0.25">
      <c r="A50" t="s">
        <v>95</v>
      </c>
      <c r="B50" s="3">
        <v>44971</v>
      </c>
      <c r="C50" t="s">
        <v>12</v>
      </c>
      <c r="D50" t="s">
        <v>13</v>
      </c>
      <c r="E50" t="s">
        <v>14</v>
      </c>
      <c r="F50" t="s">
        <v>15</v>
      </c>
      <c r="G50">
        <v>5</v>
      </c>
      <c r="H50">
        <v>55000</v>
      </c>
      <c r="I50" t="s">
        <v>16</v>
      </c>
      <c r="K50">
        <v>275000</v>
      </c>
    </row>
    <row r="51" spans="1:11" x14ac:dyDescent="0.25">
      <c r="A51" t="s">
        <v>96</v>
      </c>
      <c r="B51" s="3">
        <v>44972</v>
      </c>
      <c r="C51" t="s">
        <v>27</v>
      </c>
      <c r="D51" t="s">
        <v>13</v>
      </c>
      <c r="E51" t="s">
        <v>32</v>
      </c>
      <c r="F51" t="s">
        <v>29</v>
      </c>
      <c r="G51">
        <v>4</v>
      </c>
      <c r="H51">
        <v>59000</v>
      </c>
      <c r="I51" t="s">
        <v>30</v>
      </c>
      <c r="K51">
        <v>236000</v>
      </c>
    </row>
    <row r="52" spans="1:11" x14ac:dyDescent="0.25">
      <c r="A52" t="s">
        <v>97</v>
      </c>
      <c r="B52" s="3">
        <v>44972</v>
      </c>
      <c r="C52" t="s">
        <v>12</v>
      </c>
      <c r="D52" t="s">
        <v>13</v>
      </c>
      <c r="E52" t="s">
        <v>63</v>
      </c>
      <c r="F52" t="s">
        <v>15</v>
      </c>
      <c r="G52">
        <v>4</v>
      </c>
      <c r="H52">
        <v>65000</v>
      </c>
      <c r="I52" t="s">
        <v>16</v>
      </c>
      <c r="J52" t="s">
        <v>55</v>
      </c>
      <c r="K52">
        <v>260000</v>
      </c>
    </row>
    <row r="53" spans="1:11" x14ac:dyDescent="0.25">
      <c r="A53" t="s">
        <v>98</v>
      </c>
      <c r="B53" s="3">
        <v>44973</v>
      </c>
      <c r="C53" t="s">
        <v>68</v>
      </c>
      <c r="D53" t="s">
        <v>35</v>
      </c>
      <c r="E53" t="s">
        <v>99</v>
      </c>
      <c r="F53" t="s">
        <v>50</v>
      </c>
      <c r="G53">
        <v>4</v>
      </c>
      <c r="H53">
        <v>159000</v>
      </c>
      <c r="I53" t="s">
        <v>44</v>
      </c>
      <c r="J53" t="s">
        <v>25</v>
      </c>
      <c r="K53">
        <v>636000</v>
      </c>
    </row>
    <row r="54" spans="1:11" x14ac:dyDescent="0.25">
      <c r="A54" t="s">
        <v>100</v>
      </c>
      <c r="B54" s="3">
        <v>44974</v>
      </c>
      <c r="C54" t="s">
        <v>18</v>
      </c>
      <c r="D54" t="s">
        <v>19</v>
      </c>
      <c r="E54" t="s">
        <v>28</v>
      </c>
      <c r="F54" t="s">
        <v>29</v>
      </c>
      <c r="G54">
        <v>2</v>
      </c>
      <c r="H54">
        <v>129000</v>
      </c>
      <c r="I54" t="s">
        <v>16</v>
      </c>
      <c r="K54">
        <v>258000</v>
      </c>
    </row>
    <row r="55" spans="1:11" x14ac:dyDescent="0.25">
      <c r="A55" t="s">
        <v>101</v>
      </c>
      <c r="B55" s="3">
        <v>44975</v>
      </c>
      <c r="C55" t="s">
        <v>12</v>
      </c>
      <c r="D55" t="s">
        <v>13</v>
      </c>
      <c r="E55" t="s">
        <v>37</v>
      </c>
      <c r="F55" t="s">
        <v>38</v>
      </c>
      <c r="G55">
        <v>5</v>
      </c>
      <c r="H55">
        <v>25000</v>
      </c>
      <c r="I55" t="s">
        <v>16</v>
      </c>
      <c r="J55" t="s">
        <v>47</v>
      </c>
      <c r="K55">
        <v>125000</v>
      </c>
    </row>
    <row r="56" spans="1:11" x14ac:dyDescent="0.25">
      <c r="A56" t="s">
        <v>102</v>
      </c>
      <c r="B56" s="3">
        <v>44975</v>
      </c>
      <c r="C56" t="s">
        <v>12</v>
      </c>
      <c r="D56" t="s">
        <v>13</v>
      </c>
      <c r="E56" t="s">
        <v>37</v>
      </c>
      <c r="F56" t="s">
        <v>38</v>
      </c>
      <c r="G56">
        <v>4</v>
      </c>
      <c r="H56">
        <v>25000</v>
      </c>
      <c r="I56" t="s">
        <v>44</v>
      </c>
      <c r="J56" t="s">
        <v>25</v>
      </c>
      <c r="K56">
        <v>100000</v>
      </c>
    </row>
    <row r="57" spans="1:11" x14ac:dyDescent="0.25">
      <c r="A57" t="s">
        <v>103</v>
      </c>
      <c r="B57" s="3">
        <v>44976</v>
      </c>
      <c r="C57" t="s">
        <v>12</v>
      </c>
      <c r="D57" t="s">
        <v>13</v>
      </c>
      <c r="E57" t="s">
        <v>70</v>
      </c>
      <c r="F57" t="s">
        <v>29</v>
      </c>
      <c r="G57">
        <v>1</v>
      </c>
      <c r="H57">
        <v>79000</v>
      </c>
      <c r="I57" t="s">
        <v>16</v>
      </c>
      <c r="K57">
        <v>79000</v>
      </c>
    </row>
    <row r="58" spans="1:11" x14ac:dyDescent="0.25">
      <c r="A58" t="s">
        <v>104</v>
      </c>
      <c r="B58" s="3">
        <v>44977</v>
      </c>
      <c r="C58" t="s">
        <v>12</v>
      </c>
      <c r="D58" t="s">
        <v>13</v>
      </c>
      <c r="E58" t="s">
        <v>52</v>
      </c>
      <c r="F58" t="s">
        <v>38</v>
      </c>
      <c r="G58">
        <v>-1</v>
      </c>
      <c r="H58">
        <v>35000</v>
      </c>
      <c r="I58" t="s">
        <v>30</v>
      </c>
      <c r="K58">
        <v>-35000</v>
      </c>
    </row>
    <row r="59" spans="1:11" x14ac:dyDescent="0.25">
      <c r="A59" t="s">
        <v>105</v>
      </c>
      <c r="B59" s="3">
        <v>44978</v>
      </c>
      <c r="C59" t="s">
        <v>27</v>
      </c>
      <c r="D59" t="s">
        <v>13</v>
      </c>
      <c r="E59" t="s">
        <v>37</v>
      </c>
      <c r="F59" t="s">
        <v>38</v>
      </c>
      <c r="G59">
        <v>5</v>
      </c>
      <c r="H59">
        <v>25000</v>
      </c>
      <c r="I59" t="s">
        <v>16</v>
      </c>
      <c r="J59" t="s">
        <v>21</v>
      </c>
      <c r="K59">
        <v>125000</v>
      </c>
    </row>
    <row r="60" spans="1:11" x14ac:dyDescent="0.25">
      <c r="A60" t="s">
        <v>106</v>
      </c>
      <c r="B60" s="3">
        <v>44979</v>
      </c>
      <c r="C60" t="s">
        <v>68</v>
      </c>
      <c r="D60" t="s">
        <v>35</v>
      </c>
      <c r="E60" t="s">
        <v>52</v>
      </c>
      <c r="F60" t="s">
        <v>38</v>
      </c>
      <c r="G60">
        <v>5</v>
      </c>
      <c r="H60">
        <v>35000</v>
      </c>
      <c r="I60" t="s">
        <v>44</v>
      </c>
      <c r="J60" t="s">
        <v>25</v>
      </c>
      <c r="K60">
        <v>175000</v>
      </c>
    </row>
    <row r="61" spans="1:11" x14ac:dyDescent="0.25">
      <c r="A61" t="s">
        <v>107</v>
      </c>
      <c r="B61" s="3">
        <v>44980</v>
      </c>
      <c r="C61" t="s">
        <v>34</v>
      </c>
      <c r="D61" t="s">
        <v>35</v>
      </c>
      <c r="E61" t="s">
        <v>54</v>
      </c>
      <c r="F61" t="s">
        <v>50</v>
      </c>
      <c r="G61">
        <v>3</v>
      </c>
      <c r="H61">
        <v>189000</v>
      </c>
      <c r="I61" t="s">
        <v>16</v>
      </c>
      <c r="K61">
        <v>567000</v>
      </c>
    </row>
    <row r="62" spans="1:11" x14ac:dyDescent="0.25">
      <c r="A62" t="s">
        <v>108</v>
      </c>
      <c r="B62" s="3">
        <v>44980</v>
      </c>
      <c r="C62" t="s">
        <v>27</v>
      </c>
      <c r="D62" t="s">
        <v>13</v>
      </c>
      <c r="E62" t="s">
        <v>52</v>
      </c>
      <c r="F62" t="s">
        <v>38</v>
      </c>
      <c r="G62">
        <v>3</v>
      </c>
      <c r="H62">
        <v>35000</v>
      </c>
      <c r="I62" t="s">
        <v>30</v>
      </c>
      <c r="J62" t="s">
        <v>47</v>
      </c>
      <c r="K62">
        <v>105000</v>
      </c>
    </row>
    <row r="63" spans="1:11" x14ac:dyDescent="0.25">
      <c r="A63" t="s">
        <v>109</v>
      </c>
      <c r="B63" s="3">
        <v>44981</v>
      </c>
      <c r="C63" t="s">
        <v>12</v>
      </c>
      <c r="D63" t="s">
        <v>13</v>
      </c>
      <c r="E63" t="s">
        <v>28</v>
      </c>
      <c r="F63" t="s">
        <v>29</v>
      </c>
      <c r="G63">
        <v>5</v>
      </c>
      <c r="H63">
        <v>129000</v>
      </c>
      <c r="I63" t="s">
        <v>44</v>
      </c>
      <c r="K63">
        <v>645000</v>
      </c>
    </row>
    <row r="64" spans="1:11" x14ac:dyDescent="0.25">
      <c r="A64" t="s">
        <v>110</v>
      </c>
      <c r="B64" s="3">
        <v>44982</v>
      </c>
      <c r="C64" t="s">
        <v>24</v>
      </c>
      <c r="D64" t="s">
        <v>19</v>
      </c>
      <c r="E64" t="s">
        <v>54</v>
      </c>
      <c r="F64" t="s">
        <v>50</v>
      </c>
      <c r="G64">
        <v>5</v>
      </c>
      <c r="H64">
        <v>189000</v>
      </c>
      <c r="I64" t="s">
        <v>30</v>
      </c>
      <c r="K64">
        <v>945000</v>
      </c>
    </row>
    <row r="65" spans="1:11" x14ac:dyDescent="0.25">
      <c r="A65" t="s">
        <v>111</v>
      </c>
      <c r="B65" s="3">
        <v>44983</v>
      </c>
      <c r="C65" t="s">
        <v>12</v>
      </c>
      <c r="D65" t="s">
        <v>13</v>
      </c>
      <c r="E65" t="s">
        <v>41</v>
      </c>
      <c r="F65" t="s">
        <v>42</v>
      </c>
      <c r="G65">
        <v>2</v>
      </c>
      <c r="H65">
        <v>25000</v>
      </c>
      <c r="I65" t="s">
        <v>30</v>
      </c>
      <c r="K65">
        <v>50000</v>
      </c>
    </row>
    <row r="66" spans="1:11" x14ac:dyDescent="0.25">
      <c r="A66" t="s">
        <v>112</v>
      </c>
      <c r="B66" s="3">
        <v>44984</v>
      </c>
      <c r="C66" t="s">
        <v>68</v>
      </c>
      <c r="D66" t="s">
        <v>35</v>
      </c>
      <c r="E66" t="s">
        <v>59</v>
      </c>
      <c r="F66" t="s">
        <v>42</v>
      </c>
      <c r="G66">
        <v>5</v>
      </c>
      <c r="H66">
        <v>18000</v>
      </c>
      <c r="I66" t="s">
        <v>44</v>
      </c>
      <c r="K66">
        <v>90000</v>
      </c>
    </row>
    <row r="67" spans="1:11" x14ac:dyDescent="0.25">
      <c r="A67" t="s">
        <v>113</v>
      </c>
      <c r="B67" s="3">
        <v>44985</v>
      </c>
      <c r="C67" t="s">
        <v>18</v>
      </c>
      <c r="D67" t="s">
        <v>19</v>
      </c>
      <c r="E67" t="s">
        <v>70</v>
      </c>
      <c r="F67" t="s">
        <v>29</v>
      </c>
      <c r="G67">
        <v>1</v>
      </c>
      <c r="H67">
        <v>79000</v>
      </c>
      <c r="I67" t="s">
        <v>44</v>
      </c>
      <c r="J67" t="s">
        <v>25</v>
      </c>
      <c r="K67">
        <v>79000</v>
      </c>
    </row>
    <row r="68" spans="1:11" x14ac:dyDescent="0.25">
      <c r="A68" t="s">
        <v>114</v>
      </c>
      <c r="B68" s="3">
        <v>44929</v>
      </c>
      <c r="C68" t="s">
        <v>18</v>
      </c>
      <c r="D68" t="s">
        <v>19</v>
      </c>
      <c r="E68" t="s">
        <v>20</v>
      </c>
      <c r="F68" t="s">
        <v>15</v>
      </c>
      <c r="G68">
        <v>2</v>
      </c>
      <c r="H68">
        <v>45000</v>
      </c>
      <c r="I68" t="s">
        <v>30</v>
      </c>
      <c r="K68">
        <v>90000</v>
      </c>
    </row>
    <row r="69" spans="1:11" x14ac:dyDescent="0.25">
      <c r="A69" t="s">
        <v>115</v>
      </c>
      <c r="B69" s="3">
        <v>44960</v>
      </c>
      <c r="C69" t="s">
        <v>18</v>
      </c>
      <c r="D69" t="s">
        <v>19</v>
      </c>
      <c r="E69" t="s">
        <v>70</v>
      </c>
      <c r="F69" t="s">
        <v>29</v>
      </c>
      <c r="G69">
        <v>2</v>
      </c>
      <c r="H69">
        <v>79000</v>
      </c>
      <c r="I69" t="s">
        <v>30</v>
      </c>
      <c r="K69">
        <v>158000</v>
      </c>
    </row>
    <row r="70" spans="1:11" x14ac:dyDescent="0.25">
      <c r="A70" t="s">
        <v>116</v>
      </c>
      <c r="B70" s="3">
        <v>44960</v>
      </c>
      <c r="C70" t="s">
        <v>27</v>
      </c>
      <c r="D70" t="s">
        <v>13</v>
      </c>
      <c r="E70" t="s">
        <v>57</v>
      </c>
      <c r="F70" t="s">
        <v>38</v>
      </c>
      <c r="G70">
        <v>3</v>
      </c>
      <c r="H70">
        <v>39000</v>
      </c>
      <c r="I70" t="s">
        <v>16</v>
      </c>
      <c r="K70">
        <v>117000</v>
      </c>
    </row>
    <row r="71" spans="1:11" x14ac:dyDescent="0.25">
      <c r="A71" t="s">
        <v>117</v>
      </c>
      <c r="B71" s="3">
        <v>44988</v>
      </c>
      <c r="C71" t="s">
        <v>68</v>
      </c>
      <c r="D71" t="s">
        <v>35</v>
      </c>
      <c r="E71" t="s">
        <v>99</v>
      </c>
      <c r="F71" t="s">
        <v>50</v>
      </c>
      <c r="G71">
        <v>1</v>
      </c>
      <c r="H71">
        <v>159000</v>
      </c>
      <c r="I71" t="s">
        <v>16</v>
      </c>
      <c r="J71" t="s">
        <v>55</v>
      </c>
      <c r="K71">
        <v>159000</v>
      </c>
    </row>
    <row r="72" spans="1:11" x14ac:dyDescent="0.25">
      <c r="A72" t="s">
        <v>118</v>
      </c>
      <c r="B72" s="3">
        <v>45019</v>
      </c>
      <c r="C72" t="s">
        <v>12</v>
      </c>
      <c r="D72" t="s">
        <v>13</v>
      </c>
      <c r="E72" t="s">
        <v>14</v>
      </c>
      <c r="F72" t="s">
        <v>15</v>
      </c>
      <c r="G72">
        <v>3</v>
      </c>
      <c r="H72">
        <v>55000</v>
      </c>
      <c r="I72" t="s">
        <v>16</v>
      </c>
      <c r="K72">
        <v>165000</v>
      </c>
    </row>
    <row r="73" spans="1:11" x14ac:dyDescent="0.25">
      <c r="A73" t="s">
        <v>119</v>
      </c>
      <c r="B73" s="3">
        <v>45049</v>
      </c>
      <c r="C73" t="s">
        <v>18</v>
      </c>
      <c r="D73" t="s">
        <v>19</v>
      </c>
      <c r="E73" t="s">
        <v>28</v>
      </c>
      <c r="F73" t="s">
        <v>29</v>
      </c>
      <c r="G73">
        <v>5</v>
      </c>
      <c r="H73">
        <v>450</v>
      </c>
      <c r="I73" t="s">
        <v>44</v>
      </c>
      <c r="J73" t="s">
        <v>55</v>
      </c>
      <c r="K73">
        <v>2250</v>
      </c>
    </row>
    <row r="74" spans="1:11" x14ac:dyDescent="0.25">
      <c r="A74" t="s">
        <v>120</v>
      </c>
      <c r="B74" s="3">
        <v>45049</v>
      </c>
      <c r="C74" t="s">
        <v>12</v>
      </c>
      <c r="D74" t="s">
        <v>13</v>
      </c>
      <c r="E74" t="s">
        <v>20</v>
      </c>
      <c r="F74" t="s">
        <v>15</v>
      </c>
      <c r="G74">
        <v>1</v>
      </c>
      <c r="H74">
        <v>45000</v>
      </c>
      <c r="I74" t="s">
        <v>44</v>
      </c>
      <c r="K74">
        <v>45000</v>
      </c>
    </row>
    <row r="75" spans="1:11" x14ac:dyDescent="0.25">
      <c r="A75" t="s">
        <v>121</v>
      </c>
      <c r="B75" s="3">
        <v>45080</v>
      </c>
      <c r="C75" t="s">
        <v>12</v>
      </c>
      <c r="D75" t="s">
        <v>13</v>
      </c>
      <c r="E75" t="s">
        <v>59</v>
      </c>
      <c r="F75" t="s">
        <v>42</v>
      </c>
      <c r="G75">
        <v>3</v>
      </c>
      <c r="H75">
        <v>18000</v>
      </c>
      <c r="I75" t="s">
        <v>44</v>
      </c>
      <c r="J75" t="s">
        <v>25</v>
      </c>
      <c r="K75">
        <v>54000</v>
      </c>
    </row>
    <row r="76" spans="1:11" x14ac:dyDescent="0.25">
      <c r="A76" t="s">
        <v>122</v>
      </c>
      <c r="B76" s="3">
        <v>45110</v>
      </c>
      <c r="C76" t="s">
        <v>68</v>
      </c>
      <c r="D76" t="s">
        <v>35</v>
      </c>
      <c r="E76" t="s">
        <v>63</v>
      </c>
      <c r="F76" t="s">
        <v>15</v>
      </c>
      <c r="G76">
        <v>1</v>
      </c>
      <c r="H76">
        <v>65000</v>
      </c>
      <c r="I76" t="s">
        <v>30</v>
      </c>
      <c r="J76" t="s">
        <v>47</v>
      </c>
      <c r="K76">
        <v>65000</v>
      </c>
    </row>
    <row r="77" spans="1:11" x14ac:dyDescent="0.25">
      <c r="A77" t="s">
        <v>123</v>
      </c>
      <c r="B77" s="3">
        <v>45141</v>
      </c>
      <c r="C77" t="s">
        <v>34</v>
      </c>
      <c r="D77" t="s">
        <v>35</v>
      </c>
      <c r="E77" t="s">
        <v>54</v>
      </c>
      <c r="F77" t="s">
        <v>50</v>
      </c>
      <c r="G77">
        <v>2</v>
      </c>
      <c r="H77">
        <v>189000</v>
      </c>
      <c r="I77" t="s">
        <v>44</v>
      </c>
      <c r="K77">
        <v>378000</v>
      </c>
    </row>
    <row r="78" spans="1:11" x14ac:dyDescent="0.25">
      <c r="A78" t="s">
        <v>124</v>
      </c>
      <c r="B78" s="3">
        <v>45141</v>
      </c>
      <c r="C78" t="s">
        <v>24</v>
      </c>
      <c r="D78" t="s">
        <v>19</v>
      </c>
      <c r="E78" t="s">
        <v>41</v>
      </c>
      <c r="F78" t="s">
        <v>42</v>
      </c>
      <c r="G78">
        <v>4</v>
      </c>
      <c r="H78">
        <v>25000</v>
      </c>
      <c r="I78" t="s">
        <v>44</v>
      </c>
      <c r="K78">
        <v>100000</v>
      </c>
    </row>
    <row r="79" spans="1:11" x14ac:dyDescent="0.25">
      <c r="A79" t="s">
        <v>125</v>
      </c>
      <c r="B79" s="3">
        <v>45172</v>
      </c>
      <c r="C79" t="s">
        <v>27</v>
      </c>
      <c r="D79" t="s">
        <v>13</v>
      </c>
      <c r="E79" t="s">
        <v>74</v>
      </c>
      <c r="F79" t="s">
        <v>42</v>
      </c>
      <c r="G79">
        <v>2</v>
      </c>
      <c r="H79">
        <v>18000</v>
      </c>
      <c r="I79" t="s">
        <v>30</v>
      </c>
      <c r="K79">
        <v>36000</v>
      </c>
    </row>
    <row r="80" spans="1:11" x14ac:dyDescent="0.25">
      <c r="A80" t="s">
        <v>126</v>
      </c>
      <c r="B80" s="3">
        <v>45202</v>
      </c>
      <c r="C80" t="s">
        <v>18</v>
      </c>
      <c r="D80" t="s">
        <v>19</v>
      </c>
      <c r="E80" t="s">
        <v>41</v>
      </c>
      <c r="F80" t="s">
        <v>42</v>
      </c>
      <c r="G80">
        <v>3</v>
      </c>
      <c r="H80">
        <v>25000</v>
      </c>
      <c r="I80" t="s">
        <v>30</v>
      </c>
      <c r="K80">
        <v>75000</v>
      </c>
    </row>
    <row r="81" spans="1:11" x14ac:dyDescent="0.25">
      <c r="A81" t="s">
        <v>127</v>
      </c>
      <c r="B81" s="3">
        <v>45233</v>
      </c>
      <c r="C81" t="s">
        <v>27</v>
      </c>
      <c r="D81" t="s">
        <v>13</v>
      </c>
      <c r="E81" t="s">
        <v>74</v>
      </c>
      <c r="F81" t="s">
        <v>42</v>
      </c>
      <c r="G81">
        <v>1</v>
      </c>
      <c r="H81">
        <v>18000</v>
      </c>
      <c r="I81" t="s">
        <v>30</v>
      </c>
      <c r="K81">
        <v>18000</v>
      </c>
    </row>
    <row r="82" spans="1:11" x14ac:dyDescent="0.25">
      <c r="A82" t="s">
        <v>128</v>
      </c>
      <c r="B82" s="3">
        <v>45233</v>
      </c>
      <c r="C82" t="s">
        <v>27</v>
      </c>
      <c r="D82" t="s">
        <v>13</v>
      </c>
      <c r="E82" t="s">
        <v>54</v>
      </c>
      <c r="F82" t="s">
        <v>50</v>
      </c>
      <c r="G82">
        <v>4</v>
      </c>
      <c r="H82">
        <v>189000</v>
      </c>
      <c r="I82" t="s">
        <v>30</v>
      </c>
      <c r="K82">
        <v>756000</v>
      </c>
    </row>
    <row r="83" spans="1:11" x14ac:dyDescent="0.25">
      <c r="A83" t="s">
        <v>129</v>
      </c>
      <c r="B83" s="3">
        <v>45263</v>
      </c>
      <c r="C83" t="s">
        <v>27</v>
      </c>
      <c r="D83" t="s">
        <v>13</v>
      </c>
      <c r="E83" t="s">
        <v>14</v>
      </c>
      <c r="F83" t="s">
        <v>15</v>
      </c>
      <c r="G83">
        <v>2</v>
      </c>
      <c r="H83">
        <v>55000</v>
      </c>
      <c r="I83" t="s">
        <v>30</v>
      </c>
      <c r="J83" t="s">
        <v>47</v>
      </c>
      <c r="K83">
        <v>110000</v>
      </c>
    </row>
    <row r="84" spans="1:11" x14ac:dyDescent="0.25">
      <c r="A84" t="s">
        <v>130</v>
      </c>
      <c r="B84" s="3">
        <v>44998</v>
      </c>
      <c r="C84" t="s">
        <v>12</v>
      </c>
      <c r="D84" t="s">
        <v>13</v>
      </c>
      <c r="E84" t="s">
        <v>74</v>
      </c>
      <c r="F84" t="s">
        <v>42</v>
      </c>
      <c r="G84">
        <v>3</v>
      </c>
      <c r="H84">
        <v>18000</v>
      </c>
      <c r="I84" t="s">
        <v>30</v>
      </c>
      <c r="J84" t="s">
        <v>25</v>
      </c>
      <c r="K84">
        <v>54000</v>
      </c>
    </row>
    <row r="85" spans="1:11" x14ac:dyDescent="0.25">
      <c r="A85" t="s">
        <v>131</v>
      </c>
      <c r="B85" s="3">
        <v>44999</v>
      </c>
      <c r="C85" t="s">
        <v>18</v>
      </c>
      <c r="D85" t="s">
        <v>19</v>
      </c>
      <c r="E85" t="s">
        <v>59</v>
      </c>
      <c r="F85" t="s">
        <v>42</v>
      </c>
      <c r="G85">
        <v>5</v>
      </c>
      <c r="H85">
        <v>18000</v>
      </c>
      <c r="I85" t="s">
        <v>30</v>
      </c>
      <c r="K85">
        <v>90000</v>
      </c>
    </row>
    <row r="86" spans="1:11" x14ac:dyDescent="0.25">
      <c r="A86" t="s">
        <v>132</v>
      </c>
      <c r="B86" s="3">
        <v>45000</v>
      </c>
      <c r="C86" t="s">
        <v>34</v>
      </c>
      <c r="D86" t="s">
        <v>35</v>
      </c>
      <c r="E86" t="s">
        <v>63</v>
      </c>
      <c r="F86" t="s">
        <v>15</v>
      </c>
      <c r="G86">
        <v>5</v>
      </c>
      <c r="H86">
        <v>65000</v>
      </c>
      <c r="I86" t="s">
        <v>30</v>
      </c>
      <c r="K86">
        <v>325000</v>
      </c>
    </row>
    <row r="87" spans="1:11" x14ac:dyDescent="0.25">
      <c r="A87" t="s">
        <v>133</v>
      </c>
      <c r="B87" s="3">
        <v>45000</v>
      </c>
      <c r="C87" t="s">
        <v>24</v>
      </c>
      <c r="D87" t="s">
        <v>19</v>
      </c>
      <c r="E87" t="s">
        <v>32</v>
      </c>
      <c r="F87" t="s">
        <v>29</v>
      </c>
      <c r="G87">
        <v>3</v>
      </c>
      <c r="H87">
        <v>59000</v>
      </c>
      <c r="I87" t="s">
        <v>44</v>
      </c>
      <c r="J87" t="s">
        <v>47</v>
      </c>
      <c r="K87">
        <v>177000</v>
      </c>
    </row>
    <row r="88" spans="1:11" x14ac:dyDescent="0.25">
      <c r="A88" t="s">
        <v>134</v>
      </c>
      <c r="B88" s="3">
        <v>45000</v>
      </c>
      <c r="C88" t="s">
        <v>24</v>
      </c>
      <c r="D88" t="s">
        <v>19</v>
      </c>
      <c r="E88" t="s">
        <v>70</v>
      </c>
      <c r="F88" t="s">
        <v>29</v>
      </c>
      <c r="G88">
        <v>1</v>
      </c>
      <c r="H88">
        <v>79000</v>
      </c>
      <c r="I88" t="s">
        <v>30</v>
      </c>
      <c r="J88" t="s">
        <v>21</v>
      </c>
      <c r="K88">
        <v>79000</v>
      </c>
    </row>
    <row r="89" spans="1:11" x14ac:dyDescent="0.25">
      <c r="A89" t="s">
        <v>135</v>
      </c>
      <c r="B89" s="3">
        <v>45001</v>
      </c>
      <c r="C89" t="s">
        <v>34</v>
      </c>
      <c r="D89" t="s">
        <v>35</v>
      </c>
      <c r="E89" t="s">
        <v>14</v>
      </c>
      <c r="F89" t="s">
        <v>15</v>
      </c>
      <c r="G89">
        <v>4</v>
      </c>
      <c r="H89">
        <v>55000</v>
      </c>
      <c r="I89" t="s">
        <v>16</v>
      </c>
      <c r="J89" t="s">
        <v>25</v>
      </c>
      <c r="K89">
        <v>220000</v>
      </c>
    </row>
    <row r="90" spans="1:11" x14ac:dyDescent="0.25">
      <c r="A90" t="s">
        <v>136</v>
      </c>
      <c r="B90" s="3">
        <v>45002</v>
      </c>
      <c r="C90" t="s">
        <v>18</v>
      </c>
      <c r="D90" t="s">
        <v>19</v>
      </c>
      <c r="E90" t="s">
        <v>57</v>
      </c>
      <c r="F90" t="s">
        <v>38</v>
      </c>
      <c r="G90">
        <v>2</v>
      </c>
      <c r="H90">
        <v>39000</v>
      </c>
      <c r="I90" t="s">
        <v>30</v>
      </c>
      <c r="J90" t="s">
        <v>55</v>
      </c>
      <c r="K90">
        <v>78000</v>
      </c>
    </row>
    <row r="91" spans="1:11" x14ac:dyDescent="0.25">
      <c r="A91" t="s">
        <v>137</v>
      </c>
      <c r="B91" s="3">
        <v>45003</v>
      </c>
      <c r="C91" t="s">
        <v>18</v>
      </c>
      <c r="D91" t="s">
        <v>19</v>
      </c>
      <c r="E91" t="s">
        <v>41</v>
      </c>
      <c r="F91" t="s">
        <v>42</v>
      </c>
      <c r="G91">
        <v>3</v>
      </c>
      <c r="H91">
        <v>25000</v>
      </c>
      <c r="I91" t="s">
        <v>44</v>
      </c>
      <c r="J91" t="s">
        <v>47</v>
      </c>
      <c r="K91">
        <v>75000</v>
      </c>
    </row>
    <row r="92" spans="1:11" x14ac:dyDescent="0.25">
      <c r="A92" t="s">
        <v>138</v>
      </c>
      <c r="B92" s="3">
        <v>45003</v>
      </c>
      <c r="C92" t="s">
        <v>12</v>
      </c>
      <c r="D92" t="s">
        <v>13</v>
      </c>
      <c r="E92" t="s">
        <v>57</v>
      </c>
      <c r="F92" t="s">
        <v>38</v>
      </c>
      <c r="G92">
        <v>3</v>
      </c>
      <c r="H92">
        <v>39000</v>
      </c>
      <c r="I92" t="s">
        <v>44</v>
      </c>
      <c r="K92">
        <v>117000</v>
      </c>
    </row>
    <row r="93" spans="1:11" x14ac:dyDescent="0.25">
      <c r="A93" t="s">
        <v>139</v>
      </c>
      <c r="B93" s="3">
        <v>45004</v>
      </c>
      <c r="C93" t="s">
        <v>68</v>
      </c>
      <c r="D93" t="s">
        <v>35</v>
      </c>
      <c r="E93" t="s">
        <v>49</v>
      </c>
      <c r="F93" t="s">
        <v>50</v>
      </c>
      <c r="G93">
        <v>4</v>
      </c>
      <c r="H93">
        <v>129000</v>
      </c>
      <c r="I93" t="s">
        <v>44</v>
      </c>
      <c r="K93">
        <v>516000</v>
      </c>
    </row>
    <row r="94" spans="1:11" x14ac:dyDescent="0.25">
      <c r="A94" t="s">
        <v>140</v>
      </c>
      <c r="B94" s="3">
        <v>45005</v>
      </c>
      <c r="C94" t="s">
        <v>27</v>
      </c>
      <c r="D94" t="s">
        <v>13</v>
      </c>
      <c r="E94" t="s">
        <v>54</v>
      </c>
      <c r="F94" t="s">
        <v>50</v>
      </c>
      <c r="G94">
        <v>4</v>
      </c>
      <c r="H94">
        <v>189000</v>
      </c>
      <c r="I94" t="s">
        <v>44</v>
      </c>
      <c r="J94" t="s">
        <v>55</v>
      </c>
      <c r="K94">
        <v>756000</v>
      </c>
    </row>
    <row r="95" spans="1:11" x14ac:dyDescent="0.25">
      <c r="A95" t="s">
        <v>141</v>
      </c>
      <c r="B95" s="3">
        <v>45006</v>
      </c>
      <c r="C95" t="s">
        <v>18</v>
      </c>
      <c r="D95" t="s">
        <v>19</v>
      </c>
      <c r="E95" t="s">
        <v>41</v>
      </c>
      <c r="F95" t="s">
        <v>42</v>
      </c>
      <c r="G95">
        <v>2</v>
      </c>
      <c r="H95">
        <v>25000</v>
      </c>
      <c r="I95" t="s">
        <v>44</v>
      </c>
      <c r="J95" t="s">
        <v>21</v>
      </c>
      <c r="K95">
        <v>50000</v>
      </c>
    </row>
    <row r="96" spans="1:11" x14ac:dyDescent="0.25">
      <c r="A96" t="s">
        <v>142</v>
      </c>
      <c r="B96" s="3">
        <v>45007</v>
      </c>
      <c r="C96" t="s">
        <v>68</v>
      </c>
      <c r="D96" t="s">
        <v>35</v>
      </c>
      <c r="E96" t="s">
        <v>70</v>
      </c>
      <c r="F96" t="s">
        <v>29</v>
      </c>
      <c r="G96">
        <v>1</v>
      </c>
      <c r="H96">
        <v>79000</v>
      </c>
      <c r="I96" t="s">
        <v>30</v>
      </c>
      <c r="K96">
        <v>79000</v>
      </c>
    </row>
    <row r="97" spans="1:11" x14ac:dyDescent="0.25">
      <c r="A97" t="s">
        <v>143</v>
      </c>
      <c r="B97" s="3">
        <v>45008</v>
      </c>
      <c r="C97" t="s">
        <v>68</v>
      </c>
      <c r="D97" t="s">
        <v>35</v>
      </c>
      <c r="E97" t="s">
        <v>74</v>
      </c>
      <c r="F97" t="s">
        <v>42</v>
      </c>
      <c r="G97">
        <v>5</v>
      </c>
      <c r="H97">
        <v>18000</v>
      </c>
      <c r="I97" t="s">
        <v>44</v>
      </c>
      <c r="J97" t="s">
        <v>47</v>
      </c>
      <c r="K97">
        <v>90000</v>
      </c>
    </row>
    <row r="98" spans="1:11" x14ac:dyDescent="0.25">
      <c r="A98" t="s">
        <v>144</v>
      </c>
      <c r="B98" s="3">
        <v>45008</v>
      </c>
      <c r="C98" t="s">
        <v>68</v>
      </c>
      <c r="D98" t="s">
        <v>35</v>
      </c>
      <c r="E98" t="s">
        <v>28</v>
      </c>
      <c r="F98" t="s">
        <v>29</v>
      </c>
      <c r="G98">
        <v>2</v>
      </c>
      <c r="H98">
        <v>129000</v>
      </c>
      <c r="I98" t="s">
        <v>44</v>
      </c>
      <c r="J98" t="s">
        <v>39</v>
      </c>
      <c r="K98">
        <v>258000</v>
      </c>
    </row>
    <row r="99" spans="1:11" x14ac:dyDescent="0.25">
      <c r="A99" t="s">
        <v>145</v>
      </c>
      <c r="B99" s="3">
        <v>45009</v>
      </c>
      <c r="C99" t="s">
        <v>18</v>
      </c>
      <c r="D99" t="s">
        <v>19</v>
      </c>
      <c r="E99" t="s">
        <v>20</v>
      </c>
      <c r="F99" t="s">
        <v>15</v>
      </c>
      <c r="G99">
        <v>3</v>
      </c>
      <c r="H99">
        <v>45000</v>
      </c>
      <c r="I99" t="s">
        <v>44</v>
      </c>
      <c r="J99" t="s">
        <v>21</v>
      </c>
      <c r="K99">
        <v>135000</v>
      </c>
    </row>
    <row r="100" spans="1:11" x14ac:dyDescent="0.25">
      <c r="A100" t="s">
        <v>146</v>
      </c>
      <c r="B100" s="3">
        <v>45375</v>
      </c>
      <c r="C100" t="s">
        <v>12</v>
      </c>
      <c r="D100" t="s">
        <v>13</v>
      </c>
      <c r="E100" t="s">
        <v>59</v>
      </c>
      <c r="F100" t="s">
        <v>42</v>
      </c>
      <c r="G100">
        <v>2</v>
      </c>
      <c r="H100">
        <v>18000</v>
      </c>
      <c r="I100" t="s">
        <v>44</v>
      </c>
      <c r="K100">
        <v>36000</v>
      </c>
    </row>
    <row r="101" spans="1:11" x14ac:dyDescent="0.25">
      <c r="A101" t="s">
        <v>147</v>
      </c>
      <c r="B101" s="3">
        <v>45740</v>
      </c>
      <c r="C101" t="s">
        <v>27</v>
      </c>
      <c r="D101" t="s">
        <v>13</v>
      </c>
      <c r="E101" t="s">
        <v>63</v>
      </c>
      <c r="F101" t="s">
        <v>15</v>
      </c>
      <c r="G101">
        <v>1</v>
      </c>
      <c r="H101">
        <v>65000</v>
      </c>
      <c r="I101" t="s">
        <v>16</v>
      </c>
      <c r="K101">
        <v>65000</v>
      </c>
    </row>
    <row r="102" spans="1:11" x14ac:dyDescent="0.25">
      <c r="A102" t="s">
        <v>148</v>
      </c>
      <c r="B102" s="3">
        <v>46105</v>
      </c>
      <c r="C102" t="s">
        <v>24</v>
      </c>
      <c r="D102" t="s">
        <v>19</v>
      </c>
      <c r="E102" t="s">
        <v>59</v>
      </c>
      <c r="F102" t="s">
        <v>42</v>
      </c>
      <c r="G102">
        <v>1</v>
      </c>
      <c r="H102">
        <v>18000</v>
      </c>
      <c r="I102" t="s">
        <v>30</v>
      </c>
      <c r="J102" t="s">
        <v>55</v>
      </c>
      <c r="K102">
        <v>18000</v>
      </c>
    </row>
    <row r="103" spans="1:11" x14ac:dyDescent="0.25">
      <c r="A103" t="s">
        <v>149</v>
      </c>
      <c r="B103" s="3">
        <v>46470</v>
      </c>
      <c r="C103" t="s">
        <v>24</v>
      </c>
      <c r="D103" t="s">
        <v>19</v>
      </c>
      <c r="E103" t="s">
        <v>54</v>
      </c>
      <c r="F103" t="s">
        <v>50</v>
      </c>
      <c r="G103">
        <v>4</v>
      </c>
      <c r="H103">
        <v>189000</v>
      </c>
      <c r="I103" t="s">
        <v>30</v>
      </c>
      <c r="J103" t="s">
        <v>55</v>
      </c>
      <c r="K103">
        <v>756000</v>
      </c>
    </row>
    <row r="104" spans="1:11" x14ac:dyDescent="0.25">
      <c r="A104" t="s">
        <v>150</v>
      </c>
      <c r="B104" s="3">
        <v>45136</v>
      </c>
      <c r="C104" t="s">
        <v>27</v>
      </c>
      <c r="D104" t="s">
        <v>13</v>
      </c>
      <c r="E104" t="s">
        <v>52</v>
      </c>
      <c r="F104" t="s">
        <v>38</v>
      </c>
      <c r="G104">
        <v>1</v>
      </c>
      <c r="H104">
        <v>35000</v>
      </c>
      <c r="I104" t="s">
        <v>16</v>
      </c>
      <c r="J104" t="s">
        <v>55</v>
      </c>
      <c r="K104">
        <v>35000</v>
      </c>
    </row>
    <row r="105" spans="1:11" x14ac:dyDescent="0.25">
      <c r="A105" t="s">
        <v>151</v>
      </c>
      <c r="B105" s="3">
        <v>45137</v>
      </c>
      <c r="C105" t="s">
        <v>27</v>
      </c>
      <c r="D105" t="s">
        <v>13</v>
      </c>
      <c r="E105" t="s">
        <v>74</v>
      </c>
      <c r="F105" t="s">
        <v>42</v>
      </c>
      <c r="G105">
        <v>5</v>
      </c>
      <c r="H105">
        <v>18000</v>
      </c>
      <c r="I105" t="s">
        <v>30</v>
      </c>
      <c r="K105">
        <v>90000</v>
      </c>
    </row>
    <row r="106" spans="1:11" x14ac:dyDescent="0.25">
      <c r="A106" t="s">
        <v>152</v>
      </c>
      <c r="B106" s="3">
        <v>45138</v>
      </c>
      <c r="C106" t="s">
        <v>27</v>
      </c>
      <c r="D106" t="s">
        <v>13</v>
      </c>
      <c r="E106" t="s">
        <v>41</v>
      </c>
      <c r="F106" t="s">
        <v>42</v>
      </c>
      <c r="G106">
        <v>1</v>
      </c>
      <c r="H106">
        <v>25000</v>
      </c>
      <c r="I106" t="s">
        <v>30</v>
      </c>
      <c r="K106">
        <v>25000</v>
      </c>
    </row>
    <row r="107" spans="1:11" x14ac:dyDescent="0.25">
      <c r="A107" t="s">
        <v>153</v>
      </c>
      <c r="B107" s="3">
        <v>45139</v>
      </c>
      <c r="C107" t="s">
        <v>18</v>
      </c>
      <c r="D107" t="s">
        <v>19</v>
      </c>
      <c r="E107" t="s">
        <v>70</v>
      </c>
      <c r="F107" t="s">
        <v>29</v>
      </c>
      <c r="G107">
        <v>5</v>
      </c>
      <c r="H107">
        <v>79000</v>
      </c>
      <c r="I107" t="s">
        <v>44</v>
      </c>
      <c r="J107" t="s">
        <v>47</v>
      </c>
      <c r="K107">
        <v>395000</v>
      </c>
    </row>
    <row r="108" spans="1:11" x14ac:dyDescent="0.25">
      <c r="A108" t="s">
        <v>154</v>
      </c>
      <c r="B108" s="3">
        <v>45140</v>
      </c>
      <c r="C108" t="s">
        <v>24</v>
      </c>
      <c r="D108" t="s">
        <v>19</v>
      </c>
      <c r="E108" t="s">
        <v>59</v>
      </c>
      <c r="F108" t="s">
        <v>42</v>
      </c>
      <c r="G108">
        <v>5</v>
      </c>
      <c r="H108">
        <v>18000</v>
      </c>
      <c r="I108" t="s">
        <v>30</v>
      </c>
      <c r="J108" t="s">
        <v>25</v>
      </c>
      <c r="K108">
        <v>90000</v>
      </c>
    </row>
    <row r="109" spans="1:11" x14ac:dyDescent="0.25">
      <c r="A109" t="s">
        <v>155</v>
      </c>
      <c r="B109" s="3">
        <v>45141</v>
      </c>
      <c r="C109" t="s">
        <v>27</v>
      </c>
      <c r="D109" t="s">
        <v>13</v>
      </c>
      <c r="E109" t="s">
        <v>57</v>
      </c>
      <c r="F109" t="s">
        <v>38</v>
      </c>
      <c r="G109">
        <v>4</v>
      </c>
      <c r="H109">
        <v>39000</v>
      </c>
      <c r="I109" t="s">
        <v>30</v>
      </c>
      <c r="K109">
        <v>156000</v>
      </c>
    </row>
    <row r="110" spans="1:11" x14ac:dyDescent="0.25">
      <c r="A110" t="s">
        <v>156</v>
      </c>
      <c r="B110" s="3">
        <v>45142</v>
      </c>
      <c r="C110" t="s">
        <v>18</v>
      </c>
      <c r="D110" t="s">
        <v>19</v>
      </c>
      <c r="E110" t="s">
        <v>99</v>
      </c>
      <c r="F110" t="s">
        <v>50</v>
      </c>
      <c r="G110">
        <v>5</v>
      </c>
      <c r="H110">
        <v>159000</v>
      </c>
      <c r="I110" t="s">
        <v>30</v>
      </c>
      <c r="K110">
        <v>795000</v>
      </c>
    </row>
    <row r="111" spans="1:11" x14ac:dyDescent="0.25">
      <c r="A111" t="s">
        <v>157</v>
      </c>
      <c r="B111" s="3">
        <v>45173</v>
      </c>
      <c r="C111" t="s">
        <v>68</v>
      </c>
      <c r="D111" t="s">
        <v>35</v>
      </c>
      <c r="E111" t="s">
        <v>20</v>
      </c>
      <c r="F111" t="s">
        <v>15</v>
      </c>
      <c r="G111">
        <v>3</v>
      </c>
      <c r="H111">
        <v>45000</v>
      </c>
      <c r="I111" t="s">
        <v>16</v>
      </c>
      <c r="K111">
        <v>135000</v>
      </c>
    </row>
    <row r="112" spans="1:11" x14ac:dyDescent="0.25">
      <c r="A112" t="s">
        <v>158</v>
      </c>
      <c r="B112" s="3">
        <v>45203</v>
      </c>
      <c r="C112" t="s">
        <v>34</v>
      </c>
      <c r="D112" t="s">
        <v>35</v>
      </c>
      <c r="E112" t="s">
        <v>41</v>
      </c>
      <c r="F112" t="s">
        <v>42</v>
      </c>
      <c r="G112">
        <v>5</v>
      </c>
      <c r="H112">
        <v>25000</v>
      </c>
      <c r="I112" t="s">
        <v>16</v>
      </c>
      <c r="K112">
        <v>125000</v>
      </c>
    </row>
    <row r="113" spans="1:11" x14ac:dyDescent="0.25">
      <c r="A113" t="s">
        <v>159</v>
      </c>
      <c r="B113" s="3">
        <v>45234</v>
      </c>
      <c r="C113" t="s">
        <v>27</v>
      </c>
      <c r="D113" t="s">
        <v>13</v>
      </c>
      <c r="E113" t="s">
        <v>32</v>
      </c>
      <c r="F113" t="s">
        <v>29</v>
      </c>
      <c r="G113">
        <v>2</v>
      </c>
      <c r="H113">
        <v>59000</v>
      </c>
      <c r="I113" t="s">
        <v>44</v>
      </c>
      <c r="K113">
        <v>118000</v>
      </c>
    </row>
    <row r="114" spans="1:11" x14ac:dyDescent="0.25">
      <c r="A114" t="s">
        <v>160</v>
      </c>
      <c r="B114" s="3">
        <v>45234</v>
      </c>
      <c r="C114" t="s">
        <v>68</v>
      </c>
      <c r="D114" t="s">
        <v>35</v>
      </c>
      <c r="E114" t="s">
        <v>32</v>
      </c>
      <c r="F114" t="s">
        <v>29</v>
      </c>
      <c r="G114">
        <v>3</v>
      </c>
      <c r="H114">
        <v>59000</v>
      </c>
      <c r="I114" t="s">
        <v>44</v>
      </c>
      <c r="J114" t="s">
        <v>39</v>
      </c>
      <c r="K114">
        <v>177000</v>
      </c>
    </row>
    <row r="115" spans="1:11" x14ac:dyDescent="0.25">
      <c r="A115" t="s">
        <v>161</v>
      </c>
      <c r="B115" s="3">
        <v>45264</v>
      </c>
      <c r="C115" t="s">
        <v>12</v>
      </c>
      <c r="D115" t="s">
        <v>13</v>
      </c>
      <c r="E115" t="s">
        <v>54</v>
      </c>
      <c r="F115" t="s">
        <v>50</v>
      </c>
      <c r="G115">
        <v>4</v>
      </c>
      <c r="H115">
        <v>189000</v>
      </c>
      <c r="I115" t="s">
        <v>30</v>
      </c>
      <c r="J115" t="s">
        <v>21</v>
      </c>
      <c r="K115">
        <v>756000</v>
      </c>
    </row>
    <row r="116" spans="1:11" x14ac:dyDescent="0.25">
      <c r="A116" t="s">
        <v>162</v>
      </c>
      <c r="B116" s="3">
        <v>45029</v>
      </c>
      <c r="C116" t="s">
        <v>12</v>
      </c>
      <c r="D116" t="s">
        <v>13</v>
      </c>
      <c r="E116" t="s">
        <v>59</v>
      </c>
      <c r="F116" t="s">
        <v>42</v>
      </c>
      <c r="G116">
        <v>5</v>
      </c>
      <c r="H116">
        <v>18000</v>
      </c>
      <c r="I116" t="s">
        <v>30</v>
      </c>
      <c r="J116" t="s">
        <v>39</v>
      </c>
      <c r="K116">
        <v>90000</v>
      </c>
    </row>
    <row r="117" spans="1:11" x14ac:dyDescent="0.25">
      <c r="A117" t="s">
        <v>163</v>
      </c>
      <c r="B117" s="3">
        <v>45030</v>
      </c>
      <c r="C117" t="s">
        <v>34</v>
      </c>
      <c r="D117" t="s">
        <v>35</v>
      </c>
      <c r="E117" t="s">
        <v>99</v>
      </c>
      <c r="F117" t="s">
        <v>50</v>
      </c>
      <c r="G117">
        <v>4</v>
      </c>
      <c r="H117">
        <v>159000</v>
      </c>
      <c r="I117" t="s">
        <v>30</v>
      </c>
      <c r="J117" t="s">
        <v>25</v>
      </c>
      <c r="K117">
        <v>636000</v>
      </c>
    </row>
    <row r="118" spans="1:11" x14ac:dyDescent="0.25">
      <c r="A118" t="s">
        <v>164</v>
      </c>
      <c r="B118" s="3">
        <v>45031</v>
      </c>
      <c r="C118" t="s">
        <v>24</v>
      </c>
      <c r="D118" t="s">
        <v>19</v>
      </c>
      <c r="E118" t="s">
        <v>41</v>
      </c>
      <c r="F118" t="s">
        <v>42</v>
      </c>
      <c r="G118">
        <v>2</v>
      </c>
      <c r="H118">
        <v>25000</v>
      </c>
      <c r="I118" t="s">
        <v>30</v>
      </c>
      <c r="K118">
        <v>50000</v>
      </c>
    </row>
    <row r="119" spans="1:11" x14ac:dyDescent="0.25">
      <c r="A119" t="s">
        <v>165</v>
      </c>
      <c r="B119" s="3">
        <v>45031</v>
      </c>
      <c r="C119" t="s">
        <v>68</v>
      </c>
      <c r="D119" t="s">
        <v>35</v>
      </c>
      <c r="E119" t="s">
        <v>28</v>
      </c>
      <c r="F119" t="s">
        <v>29</v>
      </c>
      <c r="G119">
        <v>1</v>
      </c>
      <c r="H119">
        <v>129000</v>
      </c>
      <c r="I119" t="s">
        <v>30</v>
      </c>
      <c r="J119" t="s">
        <v>47</v>
      </c>
      <c r="K119">
        <v>129000</v>
      </c>
    </row>
    <row r="120" spans="1:11" x14ac:dyDescent="0.25">
      <c r="A120" t="s">
        <v>166</v>
      </c>
      <c r="B120" s="3">
        <v>45032</v>
      </c>
      <c r="C120" t="s">
        <v>18</v>
      </c>
      <c r="D120" t="s">
        <v>19</v>
      </c>
      <c r="E120" t="s">
        <v>74</v>
      </c>
      <c r="F120" t="s">
        <v>42</v>
      </c>
      <c r="G120">
        <v>4</v>
      </c>
      <c r="H120">
        <v>18000</v>
      </c>
      <c r="I120" t="s">
        <v>44</v>
      </c>
      <c r="K120">
        <v>72000</v>
      </c>
    </row>
    <row r="121" spans="1:11" x14ac:dyDescent="0.25">
      <c r="A121" t="s">
        <v>167</v>
      </c>
      <c r="B121" s="3">
        <v>45033</v>
      </c>
      <c r="C121" t="s">
        <v>27</v>
      </c>
      <c r="D121" t="s">
        <v>13</v>
      </c>
      <c r="E121" t="s">
        <v>37</v>
      </c>
      <c r="F121" t="s">
        <v>38</v>
      </c>
      <c r="G121">
        <v>5</v>
      </c>
      <c r="H121">
        <v>25000</v>
      </c>
      <c r="I121" t="s">
        <v>16</v>
      </c>
      <c r="J121" t="s">
        <v>55</v>
      </c>
      <c r="K121">
        <v>125000</v>
      </c>
    </row>
    <row r="122" spans="1:11" x14ac:dyDescent="0.25">
      <c r="A122" t="s">
        <v>168</v>
      </c>
      <c r="B122" s="3">
        <v>45034</v>
      </c>
      <c r="C122" t="s">
        <v>24</v>
      </c>
      <c r="D122" t="s">
        <v>19</v>
      </c>
      <c r="E122" t="s">
        <v>52</v>
      </c>
      <c r="F122" t="s">
        <v>38</v>
      </c>
      <c r="G122">
        <v>1</v>
      </c>
      <c r="H122">
        <v>35000</v>
      </c>
      <c r="I122" t="s">
        <v>16</v>
      </c>
      <c r="J122" t="s">
        <v>55</v>
      </c>
      <c r="K122">
        <v>35000</v>
      </c>
    </row>
    <row r="123" spans="1:11" x14ac:dyDescent="0.25">
      <c r="A123" t="s">
        <v>169</v>
      </c>
      <c r="B123" s="3">
        <v>45034</v>
      </c>
      <c r="C123" t="s">
        <v>68</v>
      </c>
      <c r="D123" t="s">
        <v>35</v>
      </c>
      <c r="E123" t="s">
        <v>63</v>
      </c>
      <c r="F123" t="s">
        <v>15</v>
      </c>
      <c r="G123">
        <v>1</v>
      </c>
      <c r="H123">
        <v>65000</v>
      </c>
      <c r="I123" t="s">
        <v>30</v>
      </c>
      <c r="J123" t="s">
        <v>55</v>
      </c>
      <c r="K123">
        <v>65000</v>
      </c>
    </row>
    <row r="124" spans="1:11" x14ac:dyDescent="0.25">
      <c r="A124" t="s">
        <v>170</v>
      </c>
      <c r="B124" s="3">
        <v>45035</v>
      </c>
      <c r="C124" t="s">
        <v>27</v>
      </c>
      <c r="D124" t="s">
        <v>13</v>
      </c>
      <c r="E124" t="s">
        <v>28</v>
      </c>
      <c r="F124" t="s">
        <v>29</v>
      </c>
      <c r="G124">
        <v>3</v>
      </c>
      <c r="H124">
        <v>129000</v>
      </c>
      <c r="I124" t="s">
        <v>30</v>
      </c>
      <c r="J124" t="s">
        <v>55</v>
      </c>
      <c r="K124">
        <v>387000</v>
      </c>
    </row>
    <row r="125" spans="1:11" x14ac:dyDescent="0.25">
      <c r="A125" t="s">
        <v>171</v>
      </c>
      <c r="B125" s="3">
        <v>45036</v>
      </c>
      <c r="C125" t="s">
        <v>68</v>
      </c>
      <c r="D125" t="s">
        <v>35</v>
      </c>
      <c r="E125" t="s">
        <v>99</v>
      </c>
      <c r="F125" t="s">
        <v>50</v>
      </c>
      <c r="G125">
        <v>1</v>
      </c>
      <c r="H125">
        <v>159000</v>
      </c>
      <c r="I125" t="s">
        <v>30</v>
      </c>
      <c r="K125">
        <v>159000</v>
      </c>
    </row>
    <row r="126" spans="1:11" x14ac:dyDescent="0.25">
      <c r="A126" t="s">
        <v>172</v>
      </c>
      <c r="B126" s="3">
        <v>45037</v>
      </c>
      <c r="C126" t="s">
        <v>12</v>
      </c>
      <c r="D126" t="s">
        <v>13</v>
      </c>
      <c r="E126" t="s">
        <v>49</v>
      </c>
      <c r="F126" t="s">
        <v>50</v>
      </c>
      <c r="G126">
        <v>2</v>
      </c>
      <c r="H126">
        <v>129000</v>
      </c>
      <c r="I126" t="s">
        <v>44</v>
      </c>
      <c r="K126">
        <v>258000</v>
      </c>
    </row>
    <row r="127" spans="1:11" x14ac:dyDescent="0.25">
      <c r="A127" t="s">
        <v>173</v>
      </c>
      <c r="B127" s="3">
        <v>45038</v>
      </c>
      <c r="C127" t="s">
        <v>12</v>
      </c>
      <c r="D127" t="s">
        <v>13</v>
      </c>
      <c r="E127" t="s">
        <v>74</v>
      </c>
      <c r="F127" t="s">
        <v>42</v>
      </c>
      <c r="G127">
        <v>1</v>
      </c>
      <c r="H127">
        <v>18000</v>
      </c>
      <c r="I127" t="s">
        <v>16</v>
      </c>
      <c r="K127">
        <v>18000</v>
      </c>
    </row>
    <row r="128" spans="1:11" x14ac:dyDescent="0.25">
      <c r="A128" t="s">
        <v>174</v>
      </c>
      <c r="B128" s="3">
        <v>45039</v>
      </c>
      <c r="C128" t="s">
        <v>24</v>
      </c>
      <c r="D128" t="s">
        <v>19</v>
      </c>
      <c r="E128" t="s">
        <v>63</v>
      </c>
      <c r="F128" t="s">
        <v>15</v>
      </c>
      <c r="G128">
        <v>2</v>
      </c>
      <c r="H128">
        <v>65000</v>
      </c>
      <c r="I128" t="s">
        <v>16</v>
      </c>
      <c r="J128" t="s">
        <v>39</v>
      </c>
      <c r="K128">
        <v>130000</v>
      </c>
    </row>
    <row r="129" spans="1:11" x14ac:dyDescent="0.25">
      <c r="A129" t="s">
        <v>175</v>
      </c>
      <c r="B129" s="3">
        <v>45039</v>
      </c>
      <c r="C129" t="s">
        <v>12</v>
      </c>
      <c r="D129" t="s">
        <v>13</v>
      </c>
      <c r="E129" t="s">
        <v>37</v>
      </c>
      <c r="F129" t="s">
        <v>38</v>
      </c>
      <c r="G129">
        <v>2</v>
      </c>
      <c r="H129">
        <v>25000</v>
      </c>
      <c r="I129" t="s">
        <v>30</v>
      </c>
      <c r="K129">
        <v>50000</v>
      </c>
    </row>
    <row r="130" spans="1:11" x14ac:dyDescent="0.25">
      <c r="A130" t="s">
        <v>176</v>
      </c>
      <c r="B130" s="3">
        <v>45040</v>
      </c>
      <c r="C130" t="s">
        <v>27</v>
      </c>
      <c r="D130" t="s">
        <v>13</v>
      </c>
      <c r="E130" t="s">
        <v>37</v>
      </c>
      <c r="F130" t="s">
        <v>38</v>
      </c>
      <c r="G130">
        <v>5</v>
      </c>
      <c r="H130">
        <v>25000</v>
      </c>
      <c r="I130" t="s">
        <v>44</v>
      </c>
      <c r="K130">
        <v>125000</v>
      </c>
    </row>
    <row r="131" spans="1:11" x14ac:dyDescent="0.25">
      <c r="A131" t="s">
        <v>177</v>
      </c>
      <c r="B131" s="3">
        <v>45041</v>
      </c>
      <c r="C131" t="s">
        <v>34</v>
      </c>
      <c r="D131" t="s">
        <v>35</v>
      </c>
      <c r="E131" t="s">
        <v>20</v>
      </c>
      <c r="F131" t="s">
        <v>15</v>
      </c>
      <c r="G131">
        <v>5</v>
      </c>
      <c r="H131">
        <v>45000</v>
      </c>
      <c r="I131" t="s">
        <v>16</v>
      </c>
      <c r="K131">
        <v>225000</v>
      </c>
    </row>
    <row r="132" spans="1:11" x14ac:dyDescent="0.25">
      <c r="A132" t="s">
        <v>178</v>
      </c>
      <c r="B132" s="3">
        <v>45042</v>
      </c>
      <c r="C132" t="s">
        <v>18</v>
      </c>
      <c r="D132" t="s">
        <v>19</v>
      </c>
      <c r="E132" t="s">
        <v>41</v>
      </c>
      <c r="F132" t="s">
        <v>42</v>
      </c>
      <c r="G132">
        <v>4</v>
      </c>
      <c r="H132">
        <v>25000</v>
      </c>
      <c r="I132" t="s">
        <v>30</v>
      </c>
      <c r="K132">
        <v>100000</v>
      </c>
    </row>
    <row r="133" spans="1:11" x14ac:dyDescent="0.25">
      <c r="A133" t="s">
        <v>179</v>
      </c>
      <c r="B133" s="3">
        <v>45043</v>
      </c>
      <c r="C133" t="s">
        <v>24</v>
      </c>
      <c r="D133" t="s">
        <v>19</v>
      </c>
      <c r="E133" t="s">
        <v>57</v>
      </c>
      <c r="F133" t="s">
        <v>38</v>
      </c>
      <c r="G133">
        <v>2</v>
      </c>
      <c r="H133">
        <v>39000</v>
      </c>
      <c r="I133" t="s">
        <v>16</v>
      </c>
      <c r="K133">
        <v>78000</v>
      </c>
    </row>
    <row r="134" spans="1:11" x14ac:dyDescent="0.25">
      <c r="A134" t="s">
        <v>180</v>
      </c>
      <c r="B134" s="3">
        <v>45044</v>
      </c>
      <c r="C134" t="s">
        <v>24</v>
      </c>
      <c r="D134" t="s">
        <v>19</v>
      </c>
      <c r="E134" t="s">
        <v>74</v>
      </c>
      <c r="F134" t="s">
        <v>42</v>
      </c>
      <c r="G134">
        <v>1</v>
      </c>
      <c r="H134">
        <v>18000</v>
      </c>
      <c r="I134" t="s">
        <v>44</v>
      </c>
      <c r="K134">
        <v>18000</v>
      </c>
    </row>
    <row r="135" spans="1:11" x14ac:dyDescent="0.25">
      <c r="A135" t="s">
        <v>181</v>
      </c>
      <c r="B135" s="3">
        <v>45045</v>
      </c>
      <c r="C135" t="s">
        <v>24</v>
      </c>
      <c r="D135" t="s">
        <v>19</v>
      </c>
      <c r="E135" t="s">
        <v>32</v>
      </c>
      <c r="F135" t="s">
        <v>29</v>
      </c>
      <c r="G135">
        <v>3</v>
      </c>
      <c r="H135">
        <v>59000</v>
      </c>
      <c r="I135" t="s">
        <v>16</v>
      </c>
      <c r="J135" t="s">
        <v>25</v>
      </c>
      <c r="K135">
        <v>177000</v>
      </c>
    </row>
    <row r="136" spans="1:11" x14ac:dyDescent="0.25">
      <c r="A136" t="s">
        <v>182</v>
      </c>
      <c r="B136" s="3">
        <v>45046</v>
      </c>
      <c r="C136" t="s">
        <v>34</v>
      </c>
      <c r="D136" t="s">
        <v>35</v>
      </c>
      <c r="E136" t="s">
        <v>14</v>
      </c>
      <c r="F136" t="s">
        <v>15</v>
      </c>
      <c r="G136">
        <v>4</v>
      </c>
      <c r="H136">
        <v>55000</v>
      </c>
      <c r="I136" t="s">
        <v>30</v>
      </c>
      <c r="K136">
        <v>220000</v>
      </c>
    </row>
    <row r="137" spans="1:11" ht="15.75" x14ac:dyDescent="0.25">
      <c r="A137" t="s">
        <v>183</v>
      </c>
      <c r="B137" s="4">
        <v>45091</v>
      </c>
      <c r="C137" t="s">
        <v>34</v>
      </c>
      <c r="D137" t="s">
        <v>35</v>
      </c>
      <c r="E137" t="s">
        <v>52</v>
      </c>
      <c r="F137" t="s">
        <v>38</v>
      </c>
      <c r="G137">
        <v>4</v>
      </c>
      <c r="H137">
        <v>35000</v>
      </c>
      <c r="I137" t="s">
        <v>44</v>
      </c>
      <c r="K137">
        <v>140000</v>
      </c>
    </row>
    <row r="138" spans="1:11" ht="15.75" x14ac:dyDescent="0.25">
      <c r="A138" t="s">
        <v>184</v>
      </c>
      <c r="B138" s="4">
        <v>45092</v>
      </c>
      <c r="C138" t="s">
        <v>27</v>
      </c>
      <c r="D138" t="s">
        <v>13</v>
      </c>
      <c r="E138" t="s">
        <v>57</v>
      </c>
      <c r="F138" t="s">
        <v>38</v>
      </c>
      <c r="G138">
        <v>5</v>
      </c>
      <c r="H138">
        <v>39000</v>
      </c>
      <c r="I138" t="s">
        <v>44</v>
      </c>
      <c r="K138">
        <v>195000</v>
      </c>
    </row>
    <row r="139" spans="1:11" ht="15.75" x14ac:dyDescent="0.25">
      <c r="A139" t="s">
        <v>185</v>
      </c>
      <c r="B139" s="4">
        <v>45093</v>
      </c>
      <c r="C139" t="s">
        <v>24</v>
      </c>
      <c r="D139" t="s">
        <v>19</v>
      </c>
      <c r="E139" t="s">
        <v>74</v>
      </c>
      <c r="F139" t="s">
        <v>42</v>
      </c>
      <c r="G139">
        <v>4</v>
      </c>
      <c r="H139">
        <v>18000</v>
      </c>
      <c r="I139" t="s">
        <v>30</v>
      </c>
      <c r="J139" t="s">
        <v>55</v>
      </c>
      <c r="K139">
        <v>72000</v>
      </c>
    </row>
    <row r="140" spans="1:11" ht="15.75" x14ac:dyDescent="0.25">
      <c r="A140" t="s">
        <v>186</v>
      </c>
      <c r="B140" s="4">
        <v>45094</v>
      </c>
      <c r="C140" t="s">
        <v>34</v>
      </c>
      <c r="D140" t="s">
        <v>35</v>
      </c>
      <c r="E140" t="s">
        <v>49</v>
      </c>
      <c r="F140" t="s">
        <v>50</v>
      </c>
      <c r="G140">
        <v>2</v>
      </c>
      <c r="H140">
        <v>129000</v>
      </c>
      <c r="I140" t="s">
        <v>16</v>
      </c>
      <c r="K140">
        <v>258000</v>
      </c>
    </row>
    <row r="141" spans="1:11" ht="15.75" x14ac:dyDescent="0.25">
      <c r="A141" t="s">
        <v>187</v>
      </c>
      <c r="B141" s="4">
        <v>45095</v>
      </c>
      <c r="C141" t="s">
        <v>27</v>
      </c>
      <c r="D141" t="s">
        <v>13</v>
      </c>
      <c r="E141" t="s">
        <v>74</v>
      </c>
      <c r="F141" t="s">
        <v>42</v>
      </c>
      <c r="G141">
        <v>4</v>
      </c>
      <c r="H141">
        <v>18000</v>
      </c>
      <c r="I141" t="s">
        <v>44</v>
      </c>
      <c r="J141" t="s">
        <v>21</v>
      </c>
      <c r="K141">
        <v>72000</v>
      </c>
    </row>
    <row r="142" spans="1:11" ht="15.75" x14ac:dyDescent="0.25">
      <c r="A142" t="s">
        <v>188</v>
      </c>
      <c r="B142" s="4">
        <v>45096</v>
      </c>
      <c r="C142" t="s">
        <v>68</v>
      </c>
      <c r="D142" t="s">
        <v>35</v>
      </c>
      <c r="E142" t="s">
        <v>49</v>
      </c>
      <c r="F142" t="s">
        <v>50</v>
      </c>
      <c r="G142">
        <v>1</v>
      </c>
      <c r="H142">
        <v>129000</v>
      </c>
      <c r="I142" t="s">
        <v>30</v>
      </c>
      <c r="J142" t="s">
        <v>47</v>
      </c>
      <c r="K142">
        <v>129000</v>
      </c>
    </row>
    <row r="143" spans="1:11" ht="15.75" x14ac:dyDescent="0.25">
      <c r="A143" t="s">
        <v>189</v>
      </c>
      <c r="B143" s="4">
        <v>45097</v>
      </c>
      <c r="C143" t="s">
        <v>68</v>
      </c>
      <c r="D143" t="s">
        <v>35</v>
      </c>
      <c r="E143" t="s">
        <v>54</v>
      </c>
      <c r="F143" t="s">
        <v>50</v>
      </c>
      <c r="G143">
        <v>3</v>
      </c>
      <c r="H143">
        <v>189000</v>
      </c>
      <c r="I143" t="s">
        <v>30</v>
      </c>
      <c r="J143" t="s">
        <v>47</v>
      </c>
      <c r="K143">
        <v>567000</v>
      </c>
    </row>
    <row r="144" spans="1:11" ht="15.75" x14ac:dyDescent="0.25">
      <c r="A144" t="s">
        <v>190</v>
      </c>
      <c r="B144" s="4">
        <v>45098</v>
      </c>
      <c r="C144" t="s">
        <v>24</v>
      </c>
      <c r="D144" t="s">
        <v>19</v>
      </c>
      <c r="E144" t="s">
        <v>57</v>
      </c>
      <c r="F144" t="s">
        <v>38</v>
      </c>
      <c r="G144">
        <v>3</v>
      </c>
      <c r="H144">
        <v>39000</v>
      </c>
      <c r="I144" t="s">
        <v>44</v>
      </c>
      <c r="K144">
        <v>117000</v>
      </c>
    </row>
    <row r="145" spans="1:11" ht="15.75" x14ac:dyDescent="0.25">
      <c r="A145" t="s">
        <v>191</v>
      </c>
      <c r="B145" s="4">
        <v>45099</v>
      </c>
      <c r="C145" t="s">
        <v>27</v>
      </c>
      <c r="D145" t="s">
        <v>13</v>
      </c>
      <c r="E145" t="s">
        <v>20</v>
      </c>
      <c r="F145" t="s">
        <v>15</v>
      </c>
      <c r="G145">
        <v>2</v>
      </c>
      <c r="H145">
        <v>45000</v>
      </c>
      <c r="I145" t="s">
        <v>44</v>
      </c>
      <c r="J145" t="s">
        <v>55</v>
      </c>
      <c r="K145">
        <v>90000</v>
      </c>
    </row>
    <row r="146" spans="1:11" ht="15.75" x14ac:dyDescent="0.25">
      <c r="A146" t="s">
        <v>192</v>
      </c>
      <c r="B146" s="4">
        <v>45100</v>
      </c>
      <c r="C146" t="s">
        <v>24</v>
      </c>
      <c r="D146" t="s">
        <v>19</v>
      </c>
      <c r="E146" t="s">
        <v>74</v>
      </c>
      <c r="F146" t="s">
        <v>42</v>
      </c>
      <c r="G146">
        <v>2</v>
      </c>
      <c r="H146">
        <v>18000</v>
      </c>
      <c r="I146" t="s">
        <v>44</v>
      </c>
      <c r="J146" t="s">
        <v>39</v>
      </c>
      <c r="K146">
        <v>36000</v>
      </c>
    </row>
    <row r="147" spans="1:11" ht="15.75" x14ac:dyDescent="0.25">
      <c r="A147" t="s">
        <v>193</v>
      </c>
      <c r="B147" s="4">
        <v>45101</v>
      </c>
      <c r="C147" t="s">
        <v>18</v>
      </c>
      <c r="D147" t="s">
        <v>19</v>
      </c>
      <c r="E147" t="s">
        <v>28</v>
      </c>
      <c r="F147" t="s">
        <v>29</v>
      </c>
      <c r="G147">
        <v>4</v>
      </c>
      <c r="H147">
        <v>129000</v>
      </c>
      <c r="I147" t="s">
        <v>16</v>
      </c>
      <c r="K147">
        <v>516000</v>
      </c>
    </row>
    <row r="148" spans="1:11" ht="15.75" x14ac:dyDescent="0.25">
      <c r="A148" t="s">
        <v>194</v>
      </c>
      <c r="B148" s="4">
        <v>45102</v>
      </c>
      <c r="C148" t="s">
        <v>27</v>
      </c>
      <c r="D148" t="s">
        <v>13</v>
      </c>
      <c r="E148" t="s">
        <v>32</v>
      </c>
      <c r="F148" t="s">
        <v>29</v>
      </c>
      <c r="G148">
        <v>2</v>
      </c>
      <c r="H148">
        <v>59000</v>
      </c>
      <c r="I148" t="s">
        <v>30</v>
      </c>
      <c r="J148" t="s">
        <v>21</v>
      </c>
      <c r="K148">
        <v>118000</v>
      </c>
    </row>
    <row r="149" spans="1:11" ht="15.75" x14ac:dyDescent="0.25">
      <c r="A149" t="s">
        <v>195</v>
      </c>
      <c r="B149" s="4">
        <v>45103</v>
      </c>
      <c r="C149" t="s">
        <v>68</v>
      </c>
      <c r="D149" t="s">
        <v>35</v>
      </c>
      <c r="E149" t="s">
        <v>70</v>
      </c>
      <c r="F149" t="s">
        <v>29</v>
      </c>
      <c r="G149">
        <v>5</v>
      </c>
      <c r="H149">
        <v>79000</v>
      </c>
      <c r="I149" t="s">
        <v>30</v>
      </c>
      <c r="J149" t="s">
        <v>55</v>
      </c>
      <c r="K149">
        <v>395000</v>
      </c>
    </row>
    <row r="150" spans="1:11" ht="15.75" x14ac:dyDescent="0.25">
      <c r="A150" t="s">
        <v>196</v>
      </c>
      <c r="B150" s="4">
        <v>45104</v>
      </c>
      <c r="C150" t="s">
        <v>34</v>
      </c>
      <c r="D150" t="s">
        <v>35</v>
      </c>
      <c r="E150" t="s">
        <v>49</v>
      </c>
      <c r="F150" t="s">
        <v>50</v>
      </c>
      <c r="G150">
        <v>4</v>
      </c>
      <c r="H150">
        <v>129000</v>
      </c>
      <c r="I150" t="s">
        <v>30</v>
      </c>
      <c r="K150">
        <v>516000</v>
      </c>
    </row>
    <row r="151" spans="1:11" ht="15.75" x14ac:dyDescent="0.25">
      <c r="A151" t="s">
        <v>197</v>
      </c>
      <c r="B151" s="4">
        <v>45105</v>
      </c>
      <c r="C151" t="s">
        <v>27</v>
      </c>
      <c r="D151" t="s">
        <v>13</v>
      </c>
      <c r="E151" t="s">
        <v>20</v>
      </c>
      <c r="F151" t="s">
        <v>15</v>
      </c>
      <c r="G151">
        <v>2</v>
      </c>
      <c r="H151">
        <v>45000</v>
      </c>
      <c r="I151" t="s">
        <v>30</v>
      </c>
      <c r="K151">
        <v>90000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"/>
  <sheetViews>
    <sheetView workbookViewId="0">
      <selection activeCell="D15" sqref="D15"/>
    </sheetView>
  </sheetViews>
  <sheetFormatPr defaultRowHeight="15" x14ac:dyDescent="0.25"/>
  <cols>
    <col min="1" max="1" width="7.7109375" customWidth="1"/>
    <col min="2" max="2" width="11.28515625" customWidth="1"/>
    <col min="3" max="3" width="10.140625" customWidth="1"/>
    <col min="4" max="4" width="21.7109375" customWidth="1"/>
    <col min="5" max="5" width="18.140625" customWidth="1"/>
    <col min="6" max="6" width="14.85546875" bestFit="1" customWidth="1"/>
  </cols>
  <sheetData>
    <row r="1" spans="1:6" x14ac:dyDescent="0.25">
      <c r="A1" s="6" t="s">
        <v>198</v>
      </c>
      <c r="B1" s="6" t="s">
        <v>6</v>
      </c>
      <c r="C1" s="6" t="s">
        <v>7</v>
      </c>
      <c r="D1" s="6" t="s">
        <v>199</v>
      </c>
      <c r="E1" s="6" t="s">
        <v>200</v>
      </c>
      <c r="F1" s="6" t="s">
        <v>201</v>
      </c>
    </row>
    <row r="2" spans="1:6" x14ac:dyDescent="0.25">
      <c r="A2">
        <v>10</v>
      </c>
      <c r="B2">
        <v>3</v>
      </c>
      <c r="C2">
        <v>55000</v>
      </c>
      <c r="D2">
        <v>165000</v>
      </c>
      <c r="E2" t="s">
        <v>202</v>
      </c>
      <c r="F2" t="s">
        <v>203</v>
      </c>
    </row>
    <row r="3" spans="1:6" x14ac:dyDescent="0.25">
      <c r="A3">
        <v>25</v>
      </c>
      <c r="C3">
        <v>45000</v>
      </c>
      <c r="D3">
        <v>0</v>
      </c>
      <c r="E3" t="s">
        <v>204</v>
      </c>
      <c r="F3" t="s">
        <v>205</v>
      </c>
    </row>
    <row r="4" spans="1:6" x14ac:dyDescent="0.25">
      <c r="A4">
        <v>42</v>
      </c>
      <c r="B4">
        <v>2</v>
      </c>
      <c r="D4">
        <v>0</v>
      </c>
      <c r="E4" t="s">
        <v>204</v>
      </c>
      <c r="F4" t="s">
        <v>206</v>
      </c>
    </row>
    <row r="5" spans="1:6" x14ac:dyDescent="0.25">
      <c r="A5">
        <v>58</v>
      </c>
      <c r="B5">
        <v>-1</v>
      </c>
      <c r="C5">
        <v>65000</v>
      </c>
      <c r="D5">
        <v>-65000</v>
      </c>
      <c r="E5" t="s">
        <v>204</v>
      </c>
      <c r="F5" t="s">
        <v>207</v>
      </c>
    </row>
    <row r="6" spans="1:6" x14ac:dyDescent="0.25">
      <c r="A6">
        <v>73</v>
      </c>
      <c r="B6">
        <v>5</v>
      </c>
      <c r="C6">
        <v>450</v>
      </c>
      <c r="D6">
        <v>2250</v>
      </c>
      <c r="E6" t="s">
        <v>202</v>
      </c>
      <c r="F6" t="s">
        <v>208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"/>
  <sheetViews>
    <sheetView tabSelected="1" workbookViewId="0">
      <selection activeCell="E10" sqref="E10"/>
    </sheetView>
  </sheetViews>
  <sheetFormatPr defaultRowHeight="15" x14ac:dyDescent="0.25"/>
  <cols>
    <col min="1" max="1" width="33.28515625" bestFit="1" customWidth="1"/>
    <col min="2" max="2" width="36.7109375" bestFit="1" customWidth="1"/>
  </cols>
  <sheetData>
    <row r="1" spans="1:2" x14ac:dyDescent="0.25">
      <c r="A1" s="6" t="s">
        <v>209</v>
      </c>
      <c r="B1" s="6" t="s">
        <v>210</v>
      </c>
    </row>
    <row r="2" spans="1:2" x14ac:dyDescent="0.25">
      <c r="A2" t="s">
        <v>211</v>
      </c>
      <c r="B2">
        <f>IFERROR(Số lượng*Đơn giá,0)</f>
        <v>0</v>
      </c>
    </row>
    <row r="3" spans="1:2" x14ac:dyDescent="0.25">
      <c r="A3" t="s">
        <v>212</v>
      </c>
      <c r="B3">
        <v>30703250</v>
      </c>
    </row>
    <row r="4" spans="1:2" x14ac:dyDescent="0.25">
      <c r="A4" t="s">
        <v>213</v>
      </c>
      <c r="B4">
        <v>3</v>
      </c>
    </row>
    <row r="5" spans="1:2" x14ac:dyDescent="0.25">
      <c r="A5" t="s">
        <v>214</v>
      </c>
      <c r="B5" t="s">
        <v>215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Nhiệm_vụ_1</vt:lpstr>
      <vt:lpstr>Tổng_hợp_trả_lời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Administrator</cp:lastModifiedBy>
  <dcterms:created xsi:type="dcterms:W3CDTF">2026-01-21T16:56:48Z</dcterms:created>
  <dcterms:modified xsi:type="dcterms:W3CDTF">2026-01-21T17:04:41Z</dcterms:modified>
</cp:coreProperties>
</file>