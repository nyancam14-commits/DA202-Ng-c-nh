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A22C6CE-3CE3-4453-BC43-4E8D6E3EDA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</calcChain>
</file>

<file path=xl/sharedStrings.xml><?xml version="1.0" encoding="utf-8"?>
<sst xmlns="http://schemas.openxmlformats.org/spreadsheetml/2006/main" count="386" uniqueCount="144">
  <si>
    <t>Order_ID</t>
  </si>
  <si>
    <t>Customer_Info</t>
  </si>
  <si>
    <t>Order_Value</t>
  </si>
  <si>
    <t>Voucher</t>
  </si>
  <si>
    <t>Shipping_Fee</t>
  </si>
  <si>
    <t>Status</t>
  </si>
  <si>
    <t>ORD-1001</t>
  </si>
  <si>
    <t>VIP</t>
  </si>
  <si>
    <t>Hoàn thành</t>
  </si>
  <si>
    <t>ORD-1002</t>
  </si>
  <si>
    <t>NORMAL</t>
  </si>
  <si>
    <t>Đã hủy</t>
  </si>
  <si>
    <t>ORD-1003</t>
  </si>
  <si>
    <t>Đang giao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</si>
  <si>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</si>
  <si>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</si>
  <si>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</si>
  <si>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</si>
  <si>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</si>
  <si>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</si>
  <si>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</si>
  <si>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</si>
  <si>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</si>
  <si>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</si>
  <si>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</si>
  <si>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</si>
  <si>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</si>
  <si>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</si>
  <si>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</si>
  <si>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</si>
  <si>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</si>
  <si>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</si>
  <si>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</si>
  <si>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</si>
  <si>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</si>
  <si>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</si>
  <si>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</si>
  <si>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</si>
  <si>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</si>
  <si>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</si>
  <si>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</si>
  <si>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</si>
  <si>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</si>
  <si>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</si>
  <si>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</si>
  <si>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</si>
  <si>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</si>
  <si>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</si>
  <si>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</si>
  <si>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</si>
  <si>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</si>
  <si>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</si>
  <si>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</si>
  <si>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</si>
  <si>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</si>
  <si>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</si>
  <si>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</si>
  <si>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</si>
  <si>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</si>
  <si>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</si>
  <si>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</si>
  <si>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</si>
  <si>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</si>
  <si>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</si>
  <si>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</si>
  <si>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</si>
  <si>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</si>
  <si>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</si>
  <si>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</si>
  <si>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</si>
  <si>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</si>
  <si>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</si>
  <si>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</si>
  <si>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</si>
  <si>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</si>
  <si>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</si>
  <si>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</si>
  <si>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</si>
  <si>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</si>
  <si>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</si>
  <si>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</si>
  <si>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</si>
  <si>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</si>
  <si>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</si>
  <si>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</si>
  <si>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</si>
  <si>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</si>
  <si>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</si>
  <si>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</si>
  <si>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</si>
  <si>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</si>
  <si>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</si>
  <si>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</si>
  <si>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</si>
  <si>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</si>
  <si>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</si>
  <si>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</si>
  <si>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</si>
  <si>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</si>
  <si>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</si>
  <si>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</si>
  <si>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</si>
  <si>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</si>
  <si>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</si>
  <si>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</si>
  <si>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</si>
  <si>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</si>
  <si>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</si>
  <si>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</si>
  <si>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</si>
  <si>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</si>
  <si>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 xml:space="preserve">Trần Văn A </t>
  </si>
  <si>
    <t xml:space="preserve">Nguyễn Thị B </t>
  </si>
  <si>
    <t xml:space="preserve">Lê Văn C </t>
  </si>
  <si>
    <t xml:space="preserve">Phạm Minh D </t>
  </si>
  <si>
    <t xml:space="preserve">Hoàng Lan E </t>
  </si>
  <si>
    <t xml:space="preserve">Vũ Văn F </t>
  </si>
  <si>
    <t xml:space="preserve">Đặng Thu G </t>
  </si>
  <si>
    <t xml:space="preserve">Bùi Tiến H </t>
  </si>
  <si>
    <t xml:space="preserve">Ngô Bảo I </t>
  </si>
  <si>
    <t xml:space="preserve">Lý Hải J </t>
  </si>
  <si>
    <t xml:space="preserve">Trịnh Kim K </t>
  </si>
  <si>
    <t xml:space="preserve">Mai Văn L </t>
  </si>
  <si>
    <t xml:space="preserve">Đào Thị M </t>
  </si>
  <si>
    <t xml:space="preserve">Đoàn Văn N </t>
  </si>
  <si>
    <t xml:space="preserve">Phan Thanh O </t>
  </si>
  <si>
    <t xml:space="preserve">Lâm Mỹ P </t>
  </si>
  <si>
    <t xml:space="preserve">Hà Văn Q </t>
  </si>
  <si>
    <t xml:space="preserve">Tô Thị R </t>
  </si>
  <si>
    <t xml:space="preserve">Diệp Văn S </t>
  </si>
  <si>
    <t xml:space="preserve">Quách Anh T </t>
  </si>
  <si>
    <t xml:space="preserve">Vương Văn U </t>
  </si>
  <si>
    <t xml:space="preserve">Tạ Thị V </t>
  </si>
  <si>
    <t xml:space="preserve">Lương Văn X </t>
  </si>
  <si>
    <t xml:space="preserve">Thân Văn Y </t>
  </si>
  <si>
    <t xml:space="preserve">Hứa Thị Z </t>
  </si>
  <si>
    <t>Number</t>
  </si>
  <si>
    <t xml:space="preserve">Chiết Khấu </t>
  </si>
  <si>
    <t xml:space="preserve">Doanh Thu Thuần </t>
  </si>
  <si>
    <t xml:space="preserve">Doanh thu thực tế   </t>
  </si>
  <si>
    <t>Phí ship phải trả</t>
  </si>
  <si>
    <t>Tổng số đơn hàng</t>
  </si>
  <si>
    <t>Số đơn hàng</t>
  </si>
  <si>
    <t>Tỷ lệ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</si>
</sst>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" fontId="1" fillId="0" borderId="0" xfId="0" applyNumberFormat="1" applyFont="1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BF53C-F386-4466-85D9-C13D6881448D}" name="Table1" displayName="Table1" ref="A1:I101" totalsRowShown="0" headerRowDxfId="11" dataDxfId="10">
  <autoFilter ref="A1:I101" xr:uid="{FFCBF53C-F386-4466-85D9-C13D6881448D}"/>
  <tableColumns count="9">
    <tableColumn id="1" xr3:uid="{219482DF-6841-4DE8-A854-7B1933FEAC6B}" name="Order_ID" dataDxfId="9"/>
    <tableColumn id="2" xr3:uid="{9700ABED-38E1-469D-961C-A9D9DCFE74B7}" name="Customer_Info" dataDxfId="8"/>
    <tableColumn id="7" xr3:uid="{BD0F6DEF-F4D7-41EE-8C22-F025872E0AE0}" name="Number" dataDxfId="7"/>
    <tableColumn id="3" xr3:uid="{70336608-F989-462B-83B5-B7DCE657B795}" name="Order_Value" dataDxfId="6"/>
    <tableColumn id="4" xr3:uid="{1CD0B2E6-856C-4D95-B887-1B70801DA1E8}" name="Voucher" dataDxfId="5"/>
    <tableColumn id="5" xr3:uid="{C51FA74A-372B-4F5C-8D75-A4A4923ADED5}" name="Shipping_Fee" dataDxfId="4"/>
    <tableColumn id="9" xr3:uid="{4E837096-747E-4EE1-80AE-F9B654C4F9A1}" name="Chiết Khấu " dataDxfId="1">
      <calculatedColumnFormula>IF(E2="VIP", D2*0.9, IF(E2="NORMAL", D2*0.95, D2))</calculatedColumnFormula>
    </tableColumn>
    <tableColumn id="10" xr3:uid="{39956903-B7C5-4DA8-B2A8-DC9E77481BD0}" name="Doanh Thu Thuần " dataDxfId="0">
      <calculatedColumnFormula>D2-G2-F2</calculatedColumnFormula>
    </tableColumn>
    <tableColumn id="6" xr3:uid="{15BF50C2-89D0-4E6F-A962-410B115C0DEE}" name="Status" data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"/>
  <sheetViews>
    <sheetView tabSelected="1" topLeftCell="D1" workbookViewId="0">
      <selection activeCell="K2" sqref="K2"/>
    </sheetView>
  </sheetViews>
  <sheetFormatPr defaultColWidth="12.5703125" defaultRowHeight="15.75" customHeight="1" x14ac:dyDescent="0.2"/>
  <cols>
    <col min="1" max="1" width="13.5703125" bestFit="1" customWidth="1"/>
    <col min="2" max="2" width="25" bestFit="1" customWidth="1"/>
    <col min="3" max="3" width="25" customWidth="1"/>
    <col min="4" max="4" width="17" style="5" bestFit="1" customWidth="1"/>
    <col min="5" max="5" width="13.140625" bestFit="1" customWidth="1"/>
    <col min="6" max="6" width="18.28515625" bestFit="1" customWidth="1"/>
    <col min="7" max="7" width="18.28515625" customWidth="1"/>
    <col min="8" max="8" width="22.5703125" bestFit="1" customWidth="1"/>
    <col min="9" max="9" width="11.140625" bestFit="1" customWidth="1"/>
    <col min="11" max="11" width="18" bestFit="1" customWidth="1"/>
    <col min="12" max="12" width="14.5703125" bestFit="1" customWidth="1"/>
    <col min="13" max="13" width="16.140625" bestFit="1" customWidth="1"/>
  </cols>
  <sheetData>
    <row r="1" spans="1:15" x14ac:dyDescent="0.2">
      <c r="A1" s="1" t="s">
        <v>0</v>
      </c>
      <c r="B1" s="1" t="s">
        <v>1</v>
      </c>
      <c r="C1" s="6" t="s">
        <v>136</v>
      </c>
      <c r="D1" s="3" t="s">
        <v>2</v>
      </c>
      <c r="E1" s="1" t="s">
        <v>3</v>
      </c>
      <c r="F1" s="1" t="s">
        <v>4</v>
      </c>
      <c r="G1" s="6" t="s">
        <v>137</v>
      </c>
      <c r="H1" s="6" t="s">
        <v>138</v>
      </c>
      <c r="I1" s="1" t="s">
        <v>5</v>
      </c>
      <c r="K1" s="7" t="s">
        <v>139</v>
      </c>
      <c r="L1" s="7" t="s">
        <v>140</v>
      </c>
      <c r="M1" s="7" t="s">
        <v>141</v>
      </c>
      <c r="N1" s="7" t="s">
        <v>142</v>
      </c>
      <c r="O1" s="7" t="s">
        <v>143</v>
      </c>
    </row>
    <row r="2" spans="1:15" x14ac:dyDescent="0.2">
      <c r="A2" s="2" t="s">
        <v>6</v>
      </c>
      <c r="B2" s="2" t="s">
        <v>111</v>
      </c>
      <c r="C2" s="2">
        <v>988776655</v>
      </c>
      <c r="D2" s="4">
        <v>500000</v>
      </c>
      <c r="E2" s="2" t="s">
        <v>7</v>
      </c>
      <c r="F2" s="2">
        <v>30000</v>
      </c>
      <c r="G2" s="2">
        <f t="shared" ref="G2:G33" si="0">IF(E2="VIP", D2*0.9, IF(E2="NORMAL", D2*0.95, D2))</f>
        <v>450000</v>
      </c>
      <c r="H2" s="4">
        <f t="shared" ref="H2:H33" si="1">D2-G2-F2</f>
        <v>20000</v>
      </c>
      <c r="I2" s="2" t="s">
        <v>8</v>
      </c>
    </row>
    <row r="3" spans="1:15" x14ac:dyDescent="0.2">
      <c r="A3" s="2" t="s">
        <v>9</v>
      </c>
      <c r="B3" s="2" t="s">
        <v>112</v>
      </c>
      <c r="C3" s="2">
        <v>912345678</v>
      </c>
      <c r="D3" s="4">
        <v>1500000</v>
      </c>
      <c r="E3" s="2" t="s">
        <v>10</v>
      </c>
      <c r="F3" s="2">
        <v>15000</v>
      </c>
      <c r="G3" s="2">
        <f t="shared" si="0"/>
        <v>1425000</v>
      </c>
      <c r="H3" s="4">
        <f t="shared" si="1"/>
        <v>60000</v>
      </c>
      <c r="I3" s="2" t="s">
        <v>11</v>
      </c>
    </row>
    <row r="4" spans="1:15" x14ac:dyDescent="0.2">
      <c r="A4" s="2" t="s">
        <v>12</v>
      </c>
      <c r="B4" s="2" t="s">
        <v>113</v>
      </c>
      <c r="C4" s="2">
        <v>905554433</v>
      </c>
      <c r="D4" s="4">
        <v>2000000</v>
      </c>
      <c r="F4" s="2">
        <v>30000</v>
      </c>
      <c r="G4" s="2">
        <f t="shared" si="0"/>
        <v>2000000</v>
      </c>
      <c r="H4" s="4">
        <f t="shared" si="1"/>
        <v>-30000</v>
      </c>
      <c r="I4" s="2" t="s">
        <v>13</v>
      </c>
    </row>
    <row r="5" spans="1:15" x14ac:dyDescent="0.2">
      <c r="A5" s="2" t="s">
        <v>14</v>
      </c>
      <c r="B5" s="2" t="s">
        <v>114</v>
      </c>
      <c r="C5" s="2">
        <v>977112233</v>
      </c>
      <c r="D5" s="4">
        <v>500000</v>
      </c>
      <c r="E5" s="2" t="s">
        <v>10</v>
      </c>
      <c r="F5" s="2">
        <v>15000</v>
      </c>
      <c r="G5" s="2">
        <f t="shared" si="0"/>
        <v>475000</v>
      </c>
      <c r="H5" s="4">
        <f t="shared" si="1"/>
        <v>10000</v>
      </c>
      <c r="I5" s="2" t="s">
        <v>8</v>
      </c>
    </row>
    <row r="6" spans="1:15" x14ac:dyDescent="0.2">
      <c r="A6" s="2" t="s">
        <v>15</v>
      </c>
      <c r="B6" s="2" t="s">
        <v>115</v>
      </c>
      <c r="C6" s="2">
        <v>944889900</v>
      </c>
      <c r="D6" s="4">
        <v>1500000</v>
      </c>
      <c r="E6" s="2" t="s">
        <v>7</v>
      </c>
      <c r="F6" s="2">
        <v>30000</v>
      </c>
      <c r="G6" s="2">
        <f t="shared" si="0"/>
        <v>1350000</v>
      </c>
      <c r="H6" s="4">
        <f t="shared" si="1"/>
        <v>120000</v>
      </c>
      <c r="I6" s="2" t="s">
        <v>13</v>
      </c>
    </row>
    <row r="7" spans="1:15" x14ac:dyDescent="0.2">
      <c r="A7" s="2" t="s">
        <v>16</v>
      </c>
      <c r="B7" s="2" t="s">
        <v>116</v>
      </c>
      <c r="C7" s="2">
        <v>933221100</v>
      </c>
      <c r="D7" s="4">
        <v>2000000</v>
      </c>
      <c r="F7" s="2">
        <v>15000</v>
      </c>
      <c r="G7" s="2">
        <f t="shared" si="0"/>
        <v>2000000</v>
      </c>
      <c r="H7" s="4">
        <f t="shared" si="1"/>
        <v>-15000</v>
      </c>
      <c r="I7" s="2" t="s">
        <v>8</v>
      </c>
    </row>
    <row r="8" spans="1:15" x14ac:dyDescent="0.2">
      <c r="A8" s="2" t="s">
        <v>17</v>
      </c>
      <c r="B8" s="2" t="s">
        <v>117</v>
      </c>
      <c r="C8" s="2">
        <v>966445566</v>
      </c>
      <c r="D8" s="4">
        <v>500000</v>
      </c>
      <c r="E8" s="2" t="s">
        <v>10</v>
      </c>
      <c r="F8" s="2">
        <v>30000</v>
      </c>
      <c r="G8" s="2">
        <f t="shared" si="0"/>
        <v>475000</v>
      </c>
      <c r="H8" s="4">
        <f t="shared" si="1"/>
        <v>-5000</v>
      </c>
      <c r="I8" s="2" t="s">
        <v>11</v>
      </c>
    </row>
    <row r="9" spans="1:15" x14ac:dyDescent="0.2">
      <c r="A9" s="2" t="s">
        <v>18</v>
      </c>
      <c r="B9" s="2" t="s">
        <v>118</v>
      </c>
      <c r="C9" s="2">
        <v>922778899</v>
      </c>
      <c r="D9" s="4">
        <v>1500000</v>
      </c>
      <c r="E9" s="2" t="s">
        <v>7</v>
      </c>
      <c r="F9" s="2">
        <v>15000</v>
      </c>
      <c r="G9" s="2">
        <f t="shared" si="0"/>
        <v>1350000</v>
      </c>
      <c r="H9" s="4">
        <f t="shared" si="1"/>
        <v>135000</v>
      </c>
      <c r="I9" s="2" t="s">
        <v>8</v>
      </c>
    </row>
    <row r="10" spans="1:15" x14ac:dyDescent="0.2">
      <c r="A10" s="2" t="s">
        <v>19</v>
      </c>
      <c r="B10" s="2" t="s">
        <v>119</v>
      </c>
      <c r="C10" s="2">
        <v>911002233</v>
      </c>
      <c r="D10" s="4">
        <v>2000000</v>
      </c>
      <c r="E10" s="2" t="s">
        <v>10</v>
      </c>
      <c r="F10" s="2">
        <v>30000</v>
      </c>
      <c r="G10" s="2">
        <f t="shared" si="0"/>
        <v>1900000</v>
      </c>
      <c r="H10" s="4">
        <f t="shared" si="1"/>
        <v>70000</v>
      </c>
      <c r="I10" s="2" t="s">
        <v>13</v>
      </c>
    </row>
    <row r="11" spans="1:15" x14ac:dyDescent="0.2">
      <c r="A11" s="2" t="s">
        <v>20</v>
      </c>
      <c r="B11" s="2" t="s">
        <v>120</v>
      </c>
      <c r="C11" s="2">
        <v>988009911</v>
      </c>
      <c r="D11" s="4">
        <v>500000</v>
      </c>
      <c r="F11" s="2">
        <v>15000</v>
      </c>
      <c r="G11" s="2">
        <f t="shared" si="0"/>
        <v>500000</v>
      </c>
      <c r="H11" s="4">
        <f t="shared" si="1"/>
        <v>-15000</v>
      </c>
      <c r="I11" s="2" t="s">
        <v>8</v>
      </c>
    </row>
    <row r="12" spans="1:15" x14ac:dyDescent="0.2">
      <c r="A12" s="2" t="s">
        <v>21</v>
      </c>
      <c r="B12" s="2" t="s">
        <v>121</v>
      </c>
      <c r="C12" s="2">
        <v>900112233</v>
      </c>
      <c r="D12" s="4">
        <v>1500000</v>
      </c>
      <c r="E12" s="2" t="s">
        <v>7</v>
      </c>
      <c r="F12" s="2">
        <v>30000</v>
      </c>
      <c r="G12" s="2">
        <f t="shared" si="0"/>
        <v>1350000</v>
      </c>
      <c r="H12" s="4">
        <f t="shared" si="1"/>
        <v>120000</v>
      </c>
      <c r="I12" s="2" t="s">
        <v>8</v>
      </c>
    </row>
    <row r="13" spans="1:15" x14ac:dyDescent="0.2">
      <c r="A13" s="2" t="s">
        <v>22</v>
      </c>
      <c r="B13" s="2" t="s">
        <v>122</v>
      </c>
      <c r="C13" s="2">
        <v>977443322</v>
      </c>
      <c r="D13" s="4">
        <v>2000000</v>
      </c>
      <c r="E13" s="2" t="s">
        <v>10</v>
      </c>
      <c r="F13" s="2">
        <v>15000</v>
      </c>
      <c r="G13" s="2">
        <f t="shared" si="0"/>
        <v>1900000</v>
      </c>
      <c r="H13" s="4">
        <f t="shared" si="1"/>
        <v>85000</v>
      </c>
      <c r="I13" s="2" t="s">
        <v>11</v>
      </c>
    </row>
    <row r="14" spans="1:15" x14ac:dyDescent="0.2">
      <c r="A14" s="2" t="s">
        <v>23</v>
      </c>
      <c r="B14" s="2" t="s">
        <v>123</v>
      </c>
      <c r="C14" s="2">
        <v>944332211</v>
      </c>
      <c r="D14" s="4">
        <v>500000</v>
      </c>
      <c r="F14" s="2">
        <v>30000</v>
      </c>
      <c r="G14" s="2">
        <f t="shared" si="0"/>
        <v>500000</v>
      </c>
      <c r="H14" s="4">
        <f t="shared" si="1"/>
        <v>-30000</v>
      </c>
      <c r="I14" s="2" t="s">
        <v>13</v>
      </c>
    </row>
    <row r="15" spans="1:15" x14ac:dyDescent="0.2">
      <c r="A15" s="2" t="s">
        <v>24</v>
      </c>
      <c r="B15" s="2" t="s">
        <v>124</v>
      </c>
      <c r="C15" s="2">
        <v>911223344</v>
      </c>
      <c r="D15" s="4">
        <v>1500000</v>
      </c>
      <c r="E15" s="2" t="s">
        <v>7</v>
      </c>
      <c r="F15" s="2">
        <v>15000</v>
      </c>
      <c r="G15" s="2">
        <f t="shared" si="0"/>
        <v>1350000</v>
      </c>
      <c r="H15" s="4">
        <f t="shared" si="1"/>
        <v>135000</v>
      </c>
      <c r="I15" s="2" t="s">
        <v>8</v>
      </c>
    </row>
    <row r="16" spans="1:15" x14ac:dyDescent="0.2">
      <c r="A16" s="2" t="s">
        <v>25</v>
      </c>
      <c r="B16" s="2" t="s">
        <v>125</v>
      </c>
      <c r="C16" s="2">
        <v>933445566</v>
      </c>
      <c r="D16" s="4">
        <v>2000000</v>
      </c>
      <c r="E16" s="2" t="s">
        <v>10</v>
      </c>
      <c r="F16" s="2">
        <v>30000</v>
      </c>
      <c r="G16" s="2">
        <f t="shared" si="0"/>
        <v>1900000</v>
      </c>
      <c r="H16" s="4">
        <f t="shared" si="1"/>
        <v>70000</v>
      </c>
      <c r="I16" s="2" t="s">
        <v>8</v>
      </c>
    </row>
    <row r="17" spans="1:9" x14ac:dyDescent="0.2">
      <c r="A17" s="2" t="s">
        <v>26</v>
      </c>
      <c r="B17" s="2" t="s">
        <v>126</v>
      </c>
      <c r="C17" s="2">
        <v>966778899</v>
      </c>
      <c r="D17" s="4">
        <v>500000</v>
      </c>
      <c r="F17" s="2">
        <v>15000</v>
      </c>
      <c r="G17" s="2">
        <f t="shared" si="0"/>
        <v>500000</v>
      </c>
      <c r="H17" s="4">
        <f t="shared" si="1"/>
        <v>-15000</v>
      </c>
      <c r="I17" s="2" t="s">
        <v>13</v>
      </c>
    </row>
    <row r="18" spans="1:9" x14ac:dyDescent="0.2">
      <c r="A18" s="2" t="s">
        <v>27</v>
      </c>
      <c r="B18" s="2" t="s">
        <v>127</v>
      </c>
      <c r="C18" s="2">
        <v>922334455</v>
      </c>
      <c r="D18" s="4">
        <v>1500000</v>
      </c>
      <c r="E18" s="2" t="s">
        <v>7</v>
      </c>
      <c r="F18" s="2">
        <v>30000</v>
      </c>
      <c r="G18" s="2">
        <f t="shared" si="0"/>
        <v>1350000</v>
      </c>
      <c r="H18" s="4">
        <f t="shared" si="1"/>
        <v>120000</v>
      </c>
      <c r="I18" s="2" t="s">
        <v>8</v>
      </c>
    </row>
    <row r="19" spans="1:9" x14ac:dyDescent="0.2">
      <c r="A19" s="2" t="s">
        <v>28</v>
      </c>
      <c r="B19" s="2" t="s">
        <v>128</v>
      </c>
      <c r="C19" s="2">
        <v>988112233</v>
      </c>
      <c r="D19" s="4">
        <v>2000000</v>
      </c>
      <c r="E19" s="2" t="s">
        <v>10</v>
      </c>
      <c r="F19" s="2">
        <v>15000</v>
      </c>
      <c r="G19" s="2">
        <f t="shared" si="0"/>
        <v>1900000</v>
      </c>
      <c r="H19" s="4">
        <f t="shared" si="1"/>
        <v>85000</v>
      </c>
      <c r="I19" s="2" t="s">
        <v>11</v>
      </c>
    </row>
    <row r="20" spans="1:9" x14ac:dyDescent="0.2">
      <c r="A20" s="2" t="s">
        <v>29</v>
      </c>
      <c r="B20" s="2" t="s">
        <v>129</v>
      </c>
      <c r="C20" s="2">
        <v>900334455</v>
      </c>
      <c r="D20" s="4">
        <v>500000</v>
      </c>
      <c r="E20" s="2" t="s">
        <v>7</v>
      </c>
      <c r="F20" s="2">
        <v>30000</v>
      </c>
      <c r="G20" s="2">
        <f t="shared" si="0"/>
        <v>450000</v>
      </c>
      <c r="H20" s="4">
        <f t="shared" si="1"/>
        <v>20000</v>
      </c>
      <c r="I20" s="2" t="s">
        <v>8</v>
      </c>
    </row>
    <row r="21" spans="1:9" x14ac:dyDescent="0.2">
      <c r="A21" s="2" t="s">
        <v>30</v>
      </c>
      <c r="B21" s="2" t="s">
        <v>130</v>
      </c>
      <c r="C21" s="2">
        <v>977665544</v>
      </c>
      <c r="D21" s="4">
        <v>1500000</v>
      </c>
      <c r="F21" s="2">
        <v>15000</v>
      </c>
      <c r="G21" s="2">
        <f t="shared" si="0"/>
        <v>1500000</v>
      </c>
      <c r="H21" s="4">
        <f t="shared" si="1"/>
        <v>-15000</v>
      </c>
      <c r="I21" s="2" t="s">
        <v>13</v>
      </c>
    </row>
    <row r="22" spans="1:9" x14ac:dyDescent="0.2">
      <c r="A22" s="2" t="s">
        <v>31</v>
      </c>
      <c r="B22" s="2" t="s">
        <v>131</v>
      </c>
      <c r="C22" s="2">
        <v>944778899</v>
      </c>
      <c r="D22" s="4">
        <v>2000000</v>
      </c>
      <c r="E22" s="2" t="s">
        <v>10</v>
      </c>
      <c r="F22" s="2">
        <v>30000</v>
      </c>
      <c r="G22" s="2">
        <f t="shared" si="0"/>
        <v>1900000</v>
      </c>
      <c r="H22" s="4">
        <f t="shared" si="1"/>
        <v>70000</v>
      </c>
      <c r="I22" s="2" t="s">
        <v>8</v>
      </c>
    </row>
    <row r="23" spans="1:9" x14ac:dyDescent="0.2">
      <c r="A23" s="2" t="s">
        <v>32</v>
      </c>
      <c r="B23" s="2" t="s">
        <v>132</v>
      </c>
      <c r="C23" s="2">
        <v>911556677</v>
      </c>
      <c r="D23" s="4">
        <v>500000</v>
      </c>
      <c r="E23" s="2" t="s">
        <v>7</v>
      </c>
      <c r="F23" s="2">
        <v>15000</v>
      </c>
      <c r="G23" s="2">
        <f t="shared" si="0"/>
        <v>450000</v>
      </c>
      <c r="H23" s="4">
        <f t="shared" si="1"/>
        <v>35000</v>
      </c>
      <c r="I23" s="2" t="s">
        <v>8</v>
      </c>
    </row>
    <row r="24" spans="1:9" x14ac:dyDescent="0.2">
      <c r="A24" s="2" t="s">
        <v>33</v>
      </c>
      <c r="B24" s="2" t="s">
        <v>133</v>
      </c>
      <c r="C24" s="2">
        <v>933889900</v>
      </c>
      <c r="D24" s="4">
        <v>1500000</v>
      </c>
      <c r="F24" s="2">
        <v>30000</v>
      </c>
      <c r="G24" s="2">
        <f t="shared" si="0"/>
        <v>1500000</v>
      </c>
      <c r="H24" s="4">
        <f t="shared" si="1"/>
        <v>-30000</v>
      </c>
      <c r="I24" s="2" t="s">
        <v>11</v>
      </c>
    </row>
    <row r="25" spans="1:9" x14ac:dyDescent="0.2">
      <c r="A25" s="2" t="s">
        <v>34</v>
      </c>
      <c r="B25" s="2" t="s">
        <v>134</v>
      </c>
      <c r="C25" s="2">
        <v>966112233</v>
      </c>
      <c r="D25" s="4">
        <v>2000000</v>
      </c>
      <c r="E25" s="2" t="s">
        <v>10</v>
      </c>
      <c r="F25" s="2">
        <v>15000</v>
      </c>
      <c r="G25" s="2">
        <f t="shared" si="0"/>
        <v>1900000</v>
      </c>
      <c r="H25" s="4">
        <f t="shared" si="1"/>
        <v>85000</v>
      </c>
      <c r="I25" s="2" t="s">
        <v>13</v>
      </c>
    </row>
    <row r="26" spans="1:9" x14ac:dyDescent="0.2">
      <c r="A26" s="2" t="s">
        <v>35</v>
      </c>
      <c r="B26" s="2" t="s">
        <v>135</v>
      </c>
      <c r="C26" s="2">
        <v>922445566</v>
      </c>
      <c r="D26" s="4">
        <v>500000</v>
      </c>
      <c r="E26" s="2" t="s">
        <v>7</v>
      </c>
      <c r="F26" s="2">
        <v>30000</v>
      </c>
      <c r="G26" s="2">
        <f t="shared" si="0"/>
        <v>450000</v>
      </c>
      <c r="H26" s="4">
        <f t="shared" si="1"/>
        <v>20000</v>
      </c>
      <c r="I26" s="2" t="s">
        <v>8</v>
      </c>
    </row>
    <row r="27" spans="1:9" x14ac:dyDescent="0.2">
      <c r="A27" s="2" t="s">
        <v>36</v>
      </c>
      <c r="B27" s="2" t="s">
        <v>111</v>
      </c>
      <c r="C27" s="2">
        <v>988776655</v>
      </c>
      <c r="D27" s="4">
        <v>1500000</v>
      </c>
      <c r="E27" s="2" t="s">
        <v>10</v>
      </c>
      <c r="F27" s="2">
        <v>15000</v>
      </c>
      <c r="G27" s="2">
        <f t="shared" si="0"/>
        <v>1425000</v>
      </c>
      <c r="H27" s="4">
        <f t="shared" si="1"/>
        <v>60000</v>
      </c>
      <c r="I27" s="2" t="s">
        <v>8</v>
      </c>
    </row>
    <row r="28" spans="1:9" x14ac:dyDescent="0.2">
      <c r="A28" s="2" t="s">
        <v>37</v>
      </c>
      <c r="B28" s="2" t="s">
        <v>112</v>
      </c>
      <c r="C28" s="2">
        <v>912345678</v>
      </c>
      <c r="D28" s="4">
        <v>2000000</v>
      </c>
      <c r="F28" s="2">
        <v>30000</v>
      </c>
      <c r="G28" s="2">
        <f t="shared" si="0"/>
        <v>2000000</v>
      </c>
      <c r="H28" s="4">
        <f t="shared" si="1"/>
        <v>-30000</v>
      </c>
      <c r="I28" s="2" t="s">
        <v>13</v>
      </c>
    </row>
    <row r="29" spans="1:9" x14ac:dyDescent="0.2">
      <c r="A29" s="2" t="s">
        <v>38</v>
      </c>
      <c r="B29" s="2" t="s">
        <v>113</v>
      </c>
      <c r="C29" s="2">
        <v>905554433</v>
      </c>
      <c r="D29" s="4">
        <v>500000</v>
      </c>
      <c r="E29" s="2" t="s">
        <v>7</v>
      </c>
      <c r="F29" s="2">
        <v>15000</v>
      </c>
      <c r="G29" s="2">
        <f t="shared" si="0"/>
        <v>450000</v>
      </c>
      <c r="H29" s="4">
        <f t="shared" si="1"/>
        <v>35000</v>
      </c>
      <c r="I29" s="2" t="s">
        <v>8</v>
      </c>
    </row>
    <row r="30" spans="1:9" x14ac:dyDescent="0.2">
      <c r="A30" s="2" t="s">
        <v>39</v>
      </c>
      <c r="B30" s="2" t="s">
        <v>114</v>
      </c>
      <c r="C30" s="2">
        <v>977112233</v>
      </c>
      <c r="D30" s="4">
        <v>1500000</v>
      </c>
      <c r="E30" s="2" t="s">
        <v>10</v>
      </c>
      <c r="F30" s="2">
        <v>30000</v>
      </c>
      <c r="G30" s="2">
        <f t="shared" si="0"/>
        <v>1425000</v>
      </c>
      <c r="H30" s="4">
        <f t="shared" si="1"/>
        <v>45000</v>
      </c>
      <c r="I30" s="2" t="s">
        <v>11</v>
      </c>
    </row>
    <row r="31" spans="1:9" x14ac:dyDescent="0.2">
      <c r="A31" s="2" t="s">
        <v>40</v>
      </c>
      <c r="B31" s="2" t="s">
        <v>115</v>
      </c>
      <c r="C31" s="2">
        <v>944889900</v>
      </c>
      <c r="D31" s="4">
        <v>2000000</v>
      </c>
      <c r="E31" s="2" t="s">
        <v>7</v>
      </c>
      <c r="F31" s="2">
        <v>15000</v>
      </c>
      <c r="G31" s="2">
        <f t="shared" si="0"/>
        <v>1800000</v>
      </c>
      <c r="H31" s="4">
        <f t="shared" si="1"/>
        <v>185000</v>
      </c>
      <c r="I31" s="2" t="s">
        <v>8</v>
      </c>
    </row>
    <row r="32" spans="1:9" x14ac:dyDescent="0.2">
      <c r="A32" s="2" t="s">
        <v>41</v>
      </c>
      <c r="B32" s="2" t="s">
        <v>116</v>
      </c>
      <c r="C32" s="2">
        <v>933221100</v>
      </c>
      <c r="D32" s="4">
        <v>500000</v>
      </c>
      <c r="F32" s="2">
        <v>30000</v>
      </c>
      <c r="G32" s="2">
        <f t="shared" si="0"/>
        <v>500000</v>
      </c>
      <c r="H32" s="4">
        <f t="shared" si="1"/>
        <v>-30000</v>
      </c>
      <c r="I32" s="2" t="s">
        <v>13</v>
      </c>
    </row>
    <row r="33" spans="1:9" x14ac:dyDescent="0.2">
      <c r="A33" s="2" t="s">
        <v>42</v>
      </c>
      <c r="B33" s="2" t="s">
        <v>117</v>
      </c>
      <c r="C33" s="2">
        <v>966445566</v>
      </c>
      <c r="D33" s="4">
        <v>1500000</v>
      </c>
      <c r="E33" s="2" t="s">
        <v>10</v>
      </c>
      <c r="F33" s="2">
        <v>15000</v>
      </c>
      <c r="G33" s="2">
        <f t="shared" si="0"/>
        <v>1425000</v>
      </c>
      <c r="H33" s="4">
        <f t="shared" si="1"/>
        <v>60000</v>
      </c>
      <c r="I33" s="2" t="s">
        <v>8</v>
      </c>
    </row>
    <row r="34" spans="1:9" x14ac:dyDescent="0.2">
      <c r="A34" s="2" t="s">
        <v>43</v>
      </c>
      <c r="B34" s="2" t="s">
        <v>118</v>
      </c>
      <c r="C34" s="2">
        <v>922778899</v>
      </c>
      <c r="D34" s="4">
        <v>2000000</v>
      </c>
      <c r="E34" s="2" t="s">
        <v>7</v>
      </c>
      <c r="F34" s="2">
        <v>30000</v>
      </c>
      <c r="G34" s="2">
        <f t="shared" ref="G34:G65" si="2">IF(E34="VIP", D34*0.9, IF(E34="NORMAL", D34*0.95, D34))</f>
        <v>1800000</v>
      </c>
      <c r="H34" s="4">
        <f t="shared" ref="H34:H65" si="3">D34-G34-F34</f>
        <v>170000</v>
      </c>
      <c r="I34" s="2" t="s">
        <v>8</v>
      </c>
    </row>
    <row r="35" spans="1:9" x14ac:dyDescent="0.2">
      <c r="A35" s="2" t="s">
        <v>44</v>
      </c>
      <c r="B35" s="2" t="s">
        <v>119</v>
      </c>
      <c r="C35" s="2">
        <v>911002233</v>
      </c>
      <c r="D35" s="4">
        <v>500000</v>
      </c>
      <c r="E35" s="2" t="s">
        <v>10</v>
      </c>
      <c r="F35" s="2">
        <v>15000</v>
      </c>
      <c r="G35" s="2">
        <f t="shared" si="2"/>
        <v>475000</v>
      </c>
      <c r="H35" s="4">
        <f t="shared" si="3"/>
        <v>10000</v>
      </c>
      <c r="I35" s="2" t="s">
        <v>11</v>
      </c>
    </row>
    <row r="36" spans="1:9" x14ac:dyDescent="0.2">
      <c r="A36" s="2" t="s">
        <v>45</v>
      </c>
      <c r="B36" s="2" t="s">
        <v>120</v>
      </c>
      <c r="C36" s="2">
        <v>988009911</v>
      </c>
      <c r="D36" s="4">
        <v>1500000</v>
      </c>
      <c r="F36" s="2">
        <v>30000</v>
      </c>
      <c r="G36" s="2">
        <f t="shared" si="2"/>
        <v>1500000</v>
      </c>
      <c r="H36" s="4">
        <f t="shared" si="3"/>
        <v>-30000</v>
      </c>
      <c r="I36" s="2" t="s">
        <v>8</v>
      </c>
    </row>
    <row r="37" spans="1:9" x14ac:dyDescent="0.2">
      <c r="A37" s="2" t="s">
        <v>46</v>
      </c>
      <c r="B37" s="2" t="s">
        <v>121</v>
      </c>
      <c r="C37" s="2">
        <v>900112233</v>
      </c>
      <c r="D37" s="4">
        <v>2000000</v>
      </c>
      <c r="E37" s="2" t="s">
        <v>7</v>
      </c>
      <c r="F37" s="2">
        <v>15000</v>
      </c>
      <c r="G37" s="2">
        <f t="shared" si="2"/>
        <v>1800000</v>
      </c>
      <c r="H37" s="4">
        <f t="shared" si="3"/>
        <v>185000</v>
      </c>
      <c r="I37" s="2" t="s">
        <v>13</v>
      </c>
    </row>
    <row r="38" spans="1:9" x14ac:dyDescent="0.2">
      <c r="A38" s="2" t="s">
        <v>47</v>
      </c>
      <c r="B38" s="2" t="s">
        <v>122</v>
      </c>
      <c r="C38" s="2">
        <v>977443322</v>
      </c>
      <c r="D38" s="4">
        <v>500000</v>
      </c>
      <c r="E38" s="2" t="s">
        <v>10</v>
      </c>
      <c r="F38" s="2">
        <v>30000</v>
      </c>
      <c r="G38" s="2">
        <f t="shared" si="2"/>
        <v>475000</v>
      </c>
      <c r="H38" s="4">
        <f t="shared" si="3"/>
        <v>-5000</v>
      </c>
      <c r="I38" s="2" t="s">
        <v>8</v>
      </c>
    </row>
    <row r="39" spans="1:9" x14ac:dyDescent="0.2">
      <c r="A39" s="2" t="s">
        <v>48</v>
      </c>
      <c r="B39" s="2" t="s">
        <v>123</v>
      </c>
      <c r="C39" s="2">
        <v>944332211</v>
      </c>
      <c r="D39" s="4">
        <v>1500000</v>
      </c>
      <c r="F39" s="2">
        <v>15000</v>
      </c>
      <c r="G39" s="2">
        <f t="shared" si="2"/>
        <v>1500000</v>
      </c>
      <c r="H39" s="4">
        <f t="shared" si="3"/>
        <v>-15000</v>
      </c>
      <c r="I39" s="2" t="s">
        <v>8</v>
      </c>
    </row>
    <row r="40" spans="1:9" x14ac:dyDescent="0.2">
      <c r="A40" s="2" t="s">
        <v>49</v>
      </c>
      <c r="B40" s="2" t="s">
        <v>124</v>
      </c>
      <c r="C40" s="2">
        <v>911223344</v>
      </c>
      <c r="D40" s="4">
        <v>2000000</v>
      </c>
      <c r="E40" s="2" t="s">
        <v>7</v>
      </c>
      <c r="F40" s="2">
        <v>30000</v>
      </c>
      <c r="G40" s="2">
        <f t="shared" si="2"/>
        <v>1800000</v>
      </c>
      <c r="H40" s="4">
        <f t="shared" si="3"/>
        <v>170000</v>
      </c>
      <c r="I40" s="2" t="s">
        <v>11</v>
      </c>
    </row>
    <row r="41" spans="1:9" x14ac:dyDescent="0.2">
      <c r="A41" s="2" t="s">
        <v>50</v>
      </c>
      <c r="B41" s="2" t="s">
        <v>125</v>
      </c>
      <c r="C41" s="2">
        <v>933445566</v>
      </c>
      <c r="D41" s="4">
        <v>500000</v>
      </c>
      <c r="E41" s="2" t="s">
        <v>10</v>
      </c>
      <c r="F41" s="2">
        <v>15000</v>
      </c>
      <c r="G41" s="2">
        <f t="shared" si="2"/>
        <v>475000</v>
      </c>
      <c r="H41" s="4">
        <f t="shared" si="3"/>
        <v>10000</v>
      </c>
      <c r="I41" s="2" t="s">
        <v>8</v>
      </c>
    </row>
    <row r="42" spans="1:9" x14ac:dyDescent="0.2">
      <c r="A42" s="2" t="s">
        <v>51</v>
      </c>
      <c r="B42" s="2" t="s">
        <v>126</v>
      </c>
      <c r="C42" s="2">
        <v>966778899</v>
      </c>
      <c r="D42" s="4">
        <v>1500000</v>
      </c>
      <c r="F42" s="2">
        <v>30000</v>
      </c>
      <c r="G42" s="2">
        <f t="shared" si="2"/>
        <v>1500000</v>
      </c>
      <c r="H42" s="4">
        <f t="shared" si="3"/>
        <v>-30000</v>
      </c>
      <c r="I42" s="2" t="s">
        <v>13</v>
      </c>
    </row>
    <row r="43" spans="1:9" x14ac:dyDescent="0.2">
      <c r="A43" s="2" t="s">
        <v>52</v>
      </c>
      <c r="B43" s="2" t="s">
        <v>127</v>
      </c>
      <c r="C43" s="2">
        <v>922334455</v>
      </c>
      <c r="D43" s="4">
        <v>2000000</v>
      </c>
      <c r="E43" s="2" t="s">
        <v>7</v>
      </c>
      <c r="F43" s="2">
        <v>15000</v>
      </c>
      <c r="G43" s="2">
        <f t="shared" si="2"/>
        <v>1800000</v>
      </c>
      <c r="H43" s="4">
        <f t="shared" si="3"/>
        <v>185000</v>
      </c>
      <c r="I43" s="2" t="s">
        <v>8</v>
      </c>
    </row>
    <row r="44" spans="1:9" x14ac:dyDescent="0.2">
      <c r="A44" s="2" t="s">
        <v>53</v>
      </c>
      <c r="B44" s="2" t="s">
        <v>128</v>
      </c>
      <c r="C44" s="2">
        <v>988112233</v>
      </c>
      <c r="D44" s="4">
        <v>500000</v>
      </c>
      <c r="E44" s="2" t="s">
        <v>10</v>
      </c>
      <c r="F44" s="2">
        <v>30000</v>
      </c>
      <c r="G44" s="2">
        <f t="shared" si="2"/>
        <v>475000</v>
      </c>
      <c r="H44" s="4">
        <f t="shared" si="3"/>
        <v>-5000</v>
      </c>
      <c r="I44" s="2" t="s">
        <v>8</v>
      </c>
    </row>
    <row r="45" spans="1:9" x14ac:dyDescent="0.2">
      <c r="A45" s="2" t="s">
        <v>54</v>
      </c>
      <c r="B45" s="2" t="s">
        <v>129</v>
      </c>
      <c r="C45" s="2">
        <v>900334455</v>
      </c>
      <c r="D45" s="4">
        <v>1500000</v>
      </c>
      <c r="E45" s="2" t="s">
        <v>7</v>
      </c>
      <c r="F45" s="2">
        <v>15000</v>
      </c>
      <c r="G45" s="2">
        <f t="shared" si="2"/>
        <v>1350000</v>
      </c>
      <c r="H45" s="4">
        <f t="shared" si="3"/>
        <v>135000</v>
      </c>
      <c r="I45" s="2" t="s">
        <v>11</v>
      </c>
    </row>
    <row r="46" spans="1:9" x14ac:dyDescent="0.2">
      <c r="A46" s="2" t="s">
        <v>55</v>
      </c>
      <c r="B46" s="2" t="s">
        <v>130</v>
      </c>
      <c r="C46" s="2">
        <v>977665544</v>
      </c>
      <c r="D46" s="4">
        <v>2000000</v>
      </c>
      <c r="F46" s="2">
        <v>30000</v>
      </c>
      <c r="G46" s="2">
        <f t="shared" si="2"/>
        <v>2000000</v>
      </c>
      <c r="H46" s="4">
        <f t="shared" si="3"/>
        <v>-30000</v>
      </c>
      <c r="I46" s="2" t="s">
        <v>8</v>
      </c>
    </row>
    <row r="47" spans="1:9" x14ac:dyDescent="0.2">
      <c r="A47" s="2" t="s">
        <v>56</v>
      </c>
      <c r="B47" s="2" t="s">
        <v>131</v>
      </c>
      <c r="C47" s="2">
        <v>944778899</v>
      </c>
      <c r="D47" s="4">
        <v>500000</v>
      </c>
      <c r="E47" s="2" t="s">
        <v>10</v>
      </c>
      <c r="F47" s="2">
        <v>15000</v>
      </c>
      <c r="G47" s="2">
        <f t="shared" si="2"/>
        <v>475000</v>
      </c>
      <c r="H47" s="4">
        <f t="shared" si="3"/>
        <v>10000</v>
      </c>
      <c r="I47" s="2" t="s">
        <v>13</v>
      </c>
    </row>
    <row r="48" spans="1:9" x14ac:dyDescent="0.2">
      <c r="A48" s="2" t="s">
        <v>57</v>
      </c>
      <c r="B48" s="2" t="s">
        <v>132</v>
      </c>
      <c r="C48" s="2">
        <v>911556677</v>
      </c>
      <c r="D48" s="4">
        <v>1500000</v>
      </c>
      <c r="E48" s="2" t="s">
        <v>7</v>
      </c>
      <c r="F48" s="2">
        <v>30000</v>
      </c>
      <c r="G48" s="2">
        <f t="shared" si="2"/>
        <v>1350000</v>
      </c>
      <c r="H48" s="4">
        <f t="shared" si="3"/>
        <v>120000</v>
      </c>
      <c r="I48" s="2" t="s">
        <v>8</v>
      </c>
    </row>
    <row r="49" spans="1:9" x14ac:dyDescent="0.2">
      <c r="A49" s="2" t="s">
        <v>58</v>
      </c>
      <c r="B49" s="2" t="s">
        <v>133</v>
      </c>
      <c r="C49" s="2">
        <v>933889900</v>
      </c>
      <c r="D49" s="4">
        <v>2000000</v>
      </c>
      <c r="F49" s="2">
        <v>15000</v>
      </c>
      <c r="G49" s="2">
        <f t="shared" si="2"/>
        <v>2000000</v>
      </c>
      <c r="H49" s="4">
        <f t="shared" si="3"/>
        <v>-15000</v>
      </c>
      <c r="I49" s="2" t="s">
        <v>8</v>
      </c>
    </row>
    <row r="50" spans="1:9" x14ac:dyDescent="0.2">
      <c r="A50" s="2" t="s">
        <v>59</v>
      </c>
      <c r="B50" s="2" t="s">
        <v>134</v>
      </c>
      <c r="C50" s="2">
        <v>966112233</v>
      </c>
      <c r="D50" s="4">
        <v>500000</v>
      </c>
      <c r="E50" s="2" t="s">
        <v>10</v>
      </c>
      <c r="F50" s="2">
        <v>30000</v>
      </c>
      <c r="G50" s="2">
        <f t="shared" si="2"/>
        <v>475000</v>
      </c>
      <c r="H50" s="4">
        <f t="shared" si="3"/>
        <v>-5000</v>
      </c>
      <c r="I50" s="2" t="s">
        <v>11</v>
      </c>
    </row>
    <row r="51" spans="1:9" x14ac:dyDescent="0.2">
      <c r="A51" s="2" t="s">
        <v>60</v>
      </c>
      <c r="B51" s="2" t="s">
        <v>135</v>
      </c>
      <c r="C51" s="2">
        <v>922445566</v>
      </c>
      <c r="D51" s="4">
        <v>1500000</v>
      </c>
      <c r="E51" s="2" t="s">
        <v>7</v>
      </c>
      <c r="F51" s="2">
        <v>15000</v>
      </c>
      <c r="G51" s="2">
        <f t="shared" si="2"/>
        <v>1350000</v>
      </c>
      <c r="H51" s="4">
        <f t="shared" si="3"/>
        <v>135000</v>
      </c>
      <c r="I51" s="2" t="s">
        <v>8</v>
      </c>
    </row>
    <row r="52" spans="1:9" x14ac:dyDescent="0.2">
      <c r="A52" s="2" t="s">
        <v>61</v>
      </c>
      <c r="B52" s="2" t="s">
        <v>111</v>
      </c>
      <c r="C52" s="2">
        <v>988776655</v>
      </c>
      <c r="D52" s="4">
        <v>2000000</v>
      </c>
      <c r="E52" s="2" t="s">
        <v>10</v>
      </c>
      <c r="F52" s="2">
        <v>30000</v>
      </c>
      <c r="G52" s="2">
        <f t="shared" si="2"/>
        <v>1900000</v>
      </c>
      <c r="H52" s="4">
        <f t="shared" si="3"/>
        <v>70000</v>
      </c>
      <c r="I52" s="2" t="s">
        <v>13</v>
      </c>
    </row>
    <row r="53" spans="1:9" x14ac:dyDescent="0.2">
      <c r="A53" s="2" t="s">
        <v>62</v>
      </c>
      <c r="B53" s="2" t="s">
        <v>112</v>
      </c>
      <c r="C53" s="2">
        <v>912345678</v>
      </c>
      <c r="D53" s="4">
        <v>500000</v>
      </c>
      <c r="F53" s="2">
        <v>15000</v>
      </c>
      <c r="G53" s="2">
        <f t="shared" si="2"/>
        <v>500000</v>
      </c>
      <c r="H53" s="4">
        <f t="shared" si="3"/>
        <v>-15000</v>
      </c>
      <c r="I53" s="2" t="s">
        <v>8</v>
      </c>
    </row>
    <row r="54" spans="1:9" x14ac:dyDescent="0.2">
      <c r="A54" s="2" t="s">
        <v>63</v>
      </c>
      <c r="B54" s="2" t="s">
        <v>113</v>
      </c>
      <c r="C54" s="2">
        <v>905554433</v>
      </c>
      <c r="D54" s="4">
        <v>1500000</v>
      </c>
      <c r="E54" s="2" t="s">
        <v>7</v>
      </c>
      <c r="F54" s="2">
        <v>30000</v>
      </c>
      <c r="G54" s="2">
        <f t="shared" si="2"/>
        <v>1350000</v>
      </c>
      <c r="H54" s="4">
        <f t="shared" si="3"/>
        <v>120000</v>
      </c>
      <c r="I54" s="2" t="s">
        <v>8</v>
      </c>
    </row>
    <row r="55" spans="1:9" x14ac:dyDescent="0.2">
      <c r="A55" s="2" t="s">
        <v>64</v>
      </c>
      <c r="B55" s="2" t="s">
        <v>114</v>
      </c>
      <c r="C55" s="2">
        <v>977112233</v>
      </c>
      <c r="D55" s="4">
        <v>2000000</v>
      </c>
      <c r="E55" s="2" t="s">
        <v>10</v>
      </c>
      <c r="F55" s="2">
        <v>15000</v>
      </c>
      <c r="G55" s="2">
        <f t="shared" si="2"/>
        <v>1900000</v>
      </c>
      <c r="H55" s="4">
        <f t="shared" si="3"/>
        <v>85000</v>
      </c>
      <c r="I55" s="2" t="s">
        <v>11</v>
      </c>
    </row>
    <row r="56" spans="1:9" x14ac:dyDescent="0.2">
      <c r="A56" s="2" t="s">
        <v>65</v>
      </c>
      <c r="B56" s="2" t="s">
        <v>115</v>
      </c>
      <c r="C56" s="2">
        <v>944889900</v>
      </c>
      <c r="D56" s="4">
        <v>500000</v>
      </c>
      <c r="E56" s="2" t="s">
        <v>7</v>
      </c>
      <c r="F56" s="2">
        <v>30000</v>
      </c>
      <c r="G56" s="2">
        <f t="shared" si="2"/>
        <v>450000</v>
      </c>
      <c r="H56" s="4">
        <f t="shared" si="3"/>
        <v>20000</v>
      </c>
      <c r="I56" s="2" t="s">
        <v>8</v>
      </c>
    </row>
    <row r="57" spans="1:9" x14ac:dyDescent="0.2">
      <c r="A57" s="2" t="s">
        <v>66</v>
      </c>
      <c r="B57" s="2" t="s">
        <v>116</v>
      </c>
      <c r="C57" s="2">
        <v>933221100</v>
      </c>
      <c r="D57" s="4">
        <v>1500000</v>
      </c>
      <c r="F57" s="2">
        <v>15000</v>
      </c>
      <c r="G57" s="2">
        <f t="shared" si="2"/>
        <v>1500000</v>
      </c>
      <c r="H57" s="4">
        <f t="shared" si="3"/>
        <v>-15000</v>
      </c>
      <c r="I57" s="2" t="s">
        <v>13</v>
      </c>
    </row>
    <row r="58" spans="1:9" x14ac:dyDescent="0.2">
      <c r="A58" s="2" t="s">
        <v>67</v>
      </c>
      <c r="B58" s="2" t="s">
        <v>117</v>
      </c>
      <c r="C58" s="2">
        <v>966445566</v>
      </c>
      <c r="D58" s="4">
        <v>2000000</v>
      </c>
      <c r="E58" s="2" t="s">
        <v>10</v>
      </c>
      <c r="F58" s="2">
        <v>30000</v>
      </c>
      <c r="G58" s="2">
        <f t="shared" si="2"/>
        <v>1900000</v>
      </c>
      <c r="H58" s="4">
        <f t="shared" si="3"/>
        <v>70000</v>
      </c>
      <c r="I58" s="2" t="s">
        <v>8</v>
      </c>
    </row>
    <row r="59" spans="1:9" x14ac:dyDescent="0.2">
      <c r="A59" s="2" t="s">
        <v>68</v>
      </c>
      <c r="B59" s="2" t="s">
        <v>118</v>
      </c>
      <c r="C59" s="2">
        <v>922778899</v>
      </c>
      <c r="D59" s="4">
        <v>500000</v>
      </c>
      <c r="E59" s="2" t="s">
        <v>7</v>
      </c>
      <c r="F59" s="2">
        <v>15000</v>
      </c>
      <c r="G59" s="2">
        <f t="shared" si="2"/>
        <v>450000</v>
      </c>
      <c r="H59" s="4">
        <f t="shared" si="3"/>
        <v>35000</v>
      </c>
      <c r="I59" s="2" t="s">
        <v>8</v>
      </c>
    </row>
    <row r="60" spans="1:9" x14ac:dyDescent="0.2">
      <c r="A60" s="2" t="s">
        <v>69</v>
      </c>
      <c r="B60" s="2" t="s">
        <v>119</v>
      </c>
      <c r="C60" s="2">
        <v>911002233</v>
      </c>
      <c r="D60" s="4">
        <v>1500000</v>
      </c>
      <c r="E60" s="2" t="s">
        <v>10</v>
      </c>
      <c r="F60" s="2">
        <v>30000</v>
      </c>
      <c r="G60" s="2">
        <f t="shared" si="2"/>
        <v>1425000</v>
      </c>
      <c r="H60" s="4">
        <f t="shared" si="3"/>
        <v>45000</v>
      </c>
      <c r="I60" s="2" t="s">
        <v>11</v>
      </c>
    </row>
    <row r="61" spans="1:9" x14ac:dyDescent="0.2">
      <c r="A61" s="2" t="s">
        <v>70</v>
      </c>
      <c r="B61" s="2" t="s">
        <v>120</v>
      </c>
      <c r="C61" s="2">
        <v>988009911</v>
      </c>
      <c r="D61" s="4">
        <v>2000000</v>
      </c>
      <c r="F61" s="2">
        <v>15000</v>
      </c>
      <c r="G61" s="2">
        <f t="shared" si="2"/>
        <v>2000000</v>
      </c>
      <c r="H61" s="4">
        <f t="shared" si="3"/>
        <v>-15000</v>
      </c>
      <c r="I61" s="2" t="s">
        <v>8</v>
      </c>
    </row>
    <row r="62" spans="1:9" x14ac:dyDescent="0.2">
      <c r="A62" s="2" t="s">
        <v>71</v>
      </c>
      <c r="B62" s="2" t="s">
        <v>121</v>
      </c>
      <c r="C62" s="2">
        <v>900112233</v>
      </c>
      <c r="D62" s="4">
        <v>500000</v>
      </c>
      <c r="E62" s="2" t="s">
        <v>7</v>
      </c>
      <c r="F62" s="2">
        <v>30000</v>
      </c>
      <c r="G62" s="2">
        <f t="shared" si="2"/>
        <v>450000</v>
      </c>
      <c r="H62" s="4">
        <f t="shared" si="3"/>
        <v>20000</v>
      </c>
      <c r="I62" s="2" t="s">
        <v>13</v>
      </c>
    </row>
    <row r="63" spans="1:9" x14ac:dyDescent="0.2">
      <c r="A63" s="2" t="s">
        <v>72</v>
      </c>
      <c r="B63" s="2" t="s">
        <v>122</v>
      </c>
      <c r="C63" s="2">
        <v>977443322</v>
      </c>
      <c r="D63" s="4">
        <v>1500000</v>
      </c>
      <c r="E63" s="2" t="s">
        <v>10</v>
      </c>
      <c r="F63" s="2">
        <v>15000</v>
      </c>
      <c r="G63" s="2">
        <f t="shared" si="2"/>
        <v>1425000</v>
      </c>
      <c r="H63" s="4">
        <f t="shared" si="3"/>
        <v>60000</v>
      </c>
      <c r="I63" s="2" t="s">
        <v>8</v>
      </c>
    </row>
    <row r="64" spans="1:9" x14ac:dyDescent="0.2">
      <c r="A64" s="2" t="s">
        <v>73</v>
      </c>
      <c r="B64" s="2" t="s">
        <v>123</v>
      </c>
      <c r="C64" s="2">
        <v>944332211</v>
      </c>
      <c r="D64" s="4">
        <v>2000000</v>
      </c>
      <c r="F64" s="2">
        <v>30000</v>
      </c>
      <c r="G64" s="2">
        <f t="shared" si="2"/>
        <v>2000000</v>
      </c>
      <c r="H64" s="4">
        <f t="shared" si="3"/>
        <v>-30000</v>
      </c>
      <c r="I64" s="2" t="s">
        <v>8</v>
      </c>
    </row>
    <row r="65" spans="1:9" x14ac:dyDescent="0.2">
      <c r="A65" s="2" t="s">
        <v>74</v>
      </c>
      <c r="B65" s="2" t="s">
        <v>124</v>
      </c>
      <c r="C65" s="2">
        <v>911223344</v>
      </c>
      <c r="D65" s="4">
        <v>500000</v>
      </c>
      <c r="E65" s="2" t="s">
        <v>7</v>
      </c>
      <c r="F65" s="2">
        <v>15000</v>
      </c>
      <c r="G65" s="2">
        <f t="shared" si="2"/>
        <v>450000</v>
      </c>
      <c r="H65" s="4">
        <f t="shared" si="3"/>
        <v>35000</v>
      </c>
      <c r="I65" s="2" t="s">
        <v>11</v>
      </c>
    </row>
    <row r="66" spans="1:9" x14ac:dyDescent="0.2">
      <c r="A66" s="2" t="s">
        <v>75</v>
      </c>
      <c r="B66" s="2" t="s">
        <v>125</v>
      </c>
      <c r="C66" s="2">
        <v>933445566</v>
      </c>
      <c r="D66" s="4">
        <v>1500000</v>
      </c>
      <c r="E66" s="2" t="s">
        <v>10</v>
      </c>
      <c r="F66" s="2">
        <v>30000</v>
      </c>
      <c r="G66" s="2">
        <f t="shared" ref="G66:G101" si="4">IF(E66="VIP", D66*0.9, IF(E66="NORMAL", D66*0.95, D66))</f>
        <v>1425000</v>
      </c>
      <c r="H66" s="4">
        <f t="shared" ref="H66:H97" si="5">D66-G66-F66</f>
        <v>45000</v>
      </c>
      <c r="I66" s="2" t="s">
        <v>8</v>
      </c>
    </row>
    <row r="67" spans="1:9" x14ac:dyDescent="0.2">
      <c r="A67" s="2" t="s">
        <v>76</v>
      </c>
      <c r="B67" s="2" t="s">
        <v>126</v>
      </c>
      <c r="C67" s="2">
        <v>966778899</v>
      </c>
      <c r="D67" s="4">
        <v>2000000</v>
      </c>
      <c r="F67" s="2">
        <v>15000</v>
      </c>
      <c r="G67" s="2">
        <f t="shared" si="4"/>
        <v>2000000</v>
      </c>
      <c r="H67" s="4">
        <f t="shared" si="5"/>
        <v>-15000</v>
      </c>
      <c r="I67" s="2" t="s">
        <v>13</v>
      </c>
    </row>
    <row r="68" spans="1:9" x14ac:dyDescent="0.2">
      <c r="A68" s="2" t="s">
        <v>77</v>
      </c>
      <c r="B68" s="2" t="s">
        <v>127</v>
      </c>
      <c r="C68" s="2">
        <v>922334455</v>
      </c>
      <c r="D68" s="4">
        <v>500000</v>
      </c>
      <c r="E68" s="2" t="s">
        <v>7</v>
      </c>
      <c r="F68" s="2">
        <v>30000</v>
      </c>
      <c r="G68" s="2">
        <f t="shared" si="4"/>
        <v>450000</v>
      </c>
      <c r="H68" s="4">
        <f t="shared" si="5"/>
        <v>20000</v>
      </c>
      <c r="I68" s="2" t="s">
        <v>8</v>
      </c>
    </row>
    <row r="69" spans="1:9" x14ac:dyDescent="0.2">
      <c r="A69" s="2" t="s">
        <v>78</v>
      </c>
      <c r="B69" s="2" t="s">
        <v>128</v>
      </c>
      <c r="C69" s="2">
        <v>988112233</v>
      </c>
      <c r="D69" s="4">
        <v>1500000</v>
      </c>
      <c r="E69" s="2" t="s">
        <v>10</v>
      </c>
      <c r="F69" s="2">
        <v>15000</v>
      </c>
      <c r="G69" s="2">
        <f t="shared" si="4"/>
        <v>1425000</v>
      </c>
      <c r="H69" s="4">
        <f t="shared" si="5"/>
        <v>60000</v>
      </c>
      <c r="I69" s="2" t="s">
        <v>8</v>
      </c>
    </row>
    <row r="70" spans="1:9" x14ac:dyDescent="0.2">
      <c r="A70" s="2" t="s">
        <v>79</v>
      </c>
      <c r="B70" s="2" t="s">
        <v>129</v>
      </c>
      <c r="C70" s="2">
        <v>900334455</v>
      </c>
      <c r="D70" s="4">
        <v>2000000</v>
      </c>
      <c r="E70" s="2" t="s">
        <v>7</v>
      </c>
      <c r="F70" s="2">
        <v>30000</v>
      </c>
      <c r="G70" s="2">
        <f t="shared" si="4"/>
        <v>1800000</v>
      </c>
      <c r="H70" s="4">
        <f t="shared" si="5"/>
        <v>170000</v>
      </c>
      <c r="I70" s="2" t="s">
        <v>11</v>
      </c>
    </row>
    <row r="71" spans="1:9" x14ac:dyDescent="0.2">
      <c r="A71" s="2" t="s">
        <v>80</v>
      </c>
      <c r="B71" s="2" t="s">
        <v>130</v>
      </c>
      <c r="C71" s="2">
        <v>977665544</v>
      </c>
      <c r="D71" s="4">
        <v>500000</v>
      </c>
      <c r="F71" s="2">
        <v>15000</v>
      </c>
      <c r="G71" s="2">
        <f t="shared" si="4"/>
        <v>500000</v>
      </c>
      <c r="H71" s="4">
        <f t="shared" si="5"/>
        <v>-15000</v>
      </c>
      <c r="I71" s="2" t="s">
        <v>8</v>
      </c>
    </row>
    <row r="72" spans="1:9" x14ac:dyDescent="0.2">
      <c r="A72" s="2" t="s">
        <v>81</v>
      </c>
      <c r="B72" s="2" t="s">
        <v>131</v>
      </c>
      <c r="C72" s="2">
        <v>944778899</v>
      </c>
      <c r="D72" s="4">
        <v>1500000</v>
      </c>
      <c r="E72" s="2" t="s">
        <v>10</v>
      </c>
      <c r="F72" s="2">
        <v>30000</v>
      </c>
      <c r="G72" s="2">
        <f t="shared" si="4"/>
        <v>1425000</v>
      </c>
      <c r="H72" s="4">
        <f t="shared" si="5"/>
        <v>45000</v>
      </c>
      <c r="I72" s="2" t="s">
        <v>13</v>
      </c>
    </row>
    <row r="73" spans="1:9" x14ac:dyDescent="0.2">
      <c r="A73" s="2" t="s">
        <v>82</v>
      </c>
      <c r="B73" s="2" t="s">
        <v>132</v>
      </c>
      <c r="C73" s="2">
        <v>911556677</v>
      </c>
      <c r="D73" s="4">
        <v>2000000</v>
      </c>
      <c r="E73" s="2" t="s">
        <v>7</v>
      </c>
      <c r="F73" s="2">
        <v>15000</v>
      </c>
      <c r="G73" s="2">
        <f t="shared" si="4"/>
        <v>1800000</v>
      </c>
      <c r="H73" s="4">
        <f t="shared" si="5"/>
        <v>185000</v>
      </c>
      <c r="I73" s="2" t="s">
        <v>8</v>
      </c>
    </row>
    <row r="74" spans="1:9" x14ac:dyDescent="0.2">
      <c r="A74" s="2" t="s">
        <v>83</v>
      </c>
      <c r="B74" s="2" t="s">
        <v>133</v>
      </c>
      <c r="C74" s="2">
        <v>933889900</v>
      </c>
      <c r="D74" s="4">
        <v>500000</v>
      </c>
      <c r="F74" s="2">
        <v>30000</v>
      </c>
      <c r="G74" s="2">
        <f t="shared" si="4"/>
        <v>500000</v>
      </c>
      <c r="H74" s="4">
        <f t="shared" si="5"/>
        <v>-30000</v>
      </c>
      <c r="I74" s="2" t="s">
        <v>8</v>
      </c>
    </row>
    <row r="75" spans="1:9" x14ac:dyDescent="0.2">
      <c r="A75" s="2" t="s">
        <v>84</v>
      </c>
      <c r="B75" s="2" t="s">
        <v>134</v>
      </c>
      <c r="C75" s="2">
        <v>966112233</v>
      </c>
      <c r="D75" s="4">
        <v>1500000</v>
      </c>
      <c r="E75" s="2" t="s">
        <v>10</v>
      </c>
      <c r="F75" s="2">
        <v>15000</v>
      </c>
      <c r="G75" s="2">
        <f t="shared" si="4"/>
        <v>1425000</v>
      </c>
      <c r="H75" s="4">
        <f t="shared" si="5"/>
        <v>60000</v>
      </c>
      <c r="I75" s="2" t="s">
        <v>11</v>
      </c>
    </row>
    <row r="76" spans="1:9" x14ac:dyDescent="0.2">
      <c r="A76" s="2" t="s">
        <v>85</v>
      </c>
      <c r="B76" s="2" t="s">
        <v>135</v>
      </c>
      <c r="C76" s="2">
        <v>922445566</v>
      </c>
      <c r="D76" s="4">
        <v>2000000</v>
      </c>
      <c r="E76" s="2" t="s">
        <v>7</v>
      </c>
      <c r="F76" s="2">
        <v>30000</v>
      </c>
      <c r="G76" s="2">
        <f t="shared" si="4"/>
        <v>1800000</v>
      </c>
      <c r="H76" s="4">
        <f t="shared" si="5"/>
        <v>170000</v>
      </c>
      <c r="I76" s="2" t="s">
        <v>8</v>
      </c>
    </row>
    <row r="77" spans="1:9" x14ac:dyDescent="0.2">
      <c r="A77" s="2" t="s">
        <v>86</v>
      </c>
      <c r="B77" s="2" t="s">
        <v>111</v>
      </c>
      <c r="C77" s="2">
        <v>988776655</v>
      </c>
      <c r="D77" s="4">
        <v>500000</v>
      </c>
      <c r="E77" s="2" t="s">
        <v>10</v>
      </c>
      <c r="F77" s="2">
        <v>15000</v>
      </c>
      <c r="G77" s="2">
        <f t="shared" si="4"/>
        <v>475000</v>
      </c>
      <c r="H77" s="4">
        <f t="shared" si="5"/>
        <v>10000</v>
      </c>
      <c r="I77" s="2" t="s">
        <v>13</v>
      </c>
    </row>
    <row r="78" spans="1:9" x14ac:dyDescent="0.2">
      <c r="A78" s="2" t="s">
        <v>87</v>
      </c>
      <c r="B78" s="2" t="s">
        <v>112</v>
      </c>
      <c r="C78" s="2">
        <v>912345678</v>
      </c>
      <c r="D78" s="4">
        <v>1500000</v>
      </c>
      <c r="F78" s="2">
        <v>30000</v>
      </c>
      <c r="G78" s="2">
        <f t="shared" si="4"/>
        <v>1500000</v>
      </c>
      <c r="H78" s="4">
        <f t="shared" si="5"/>
        <v>-30000</v>
      </c>
      <c r="I78" s="2" t="s">
        <v>8</v>
      </c>
    </row>
    <row r="79" spans="1:9" x14ac:dyDescent="0.2">
      <c r="A79" s="2" t="s">
        <v>88</v>
      </c>
      <c r="B79" s="2" t="s">
        <v>113</v>
      </c>
      <c r="C79" s="2">
        <v>905554433</v>
      </c>
      <c r="D79" s="4">
        <v>2000000</v>
      </c>
      <c r="E79" s="2" t="s">
        <v>7</v>
      </c>
      <c r="F79" s="2">
        <v>15000</v>
      </c>
      <c r="G79" s="2">
        <f t="shared" si="4"/>
        <v>1800000</v>
      </c>
      <c r="H79" s="4">
        <f t="shared" si="5"/>
        <v>185000</v>
      </c>
      <c r="I79" s="2" t="s">
        <v>8</v>
      </c>
    </row>
    <row r="80" spans="1:9" x14ac:dyDescent="0.2">
      <c r="A80" s="2" t="s">
        <v>89</v>
      </c>
      <c r="B80" s="2" t="s">
        <v>114</v>
      </c>
      <c r="C80" s="2">
        <v>977112233</v>
      </c>
      <c r="D80" s="4">
        <v>500000</v>
      </c>
      <c r="E80" s="2" t="s">
        <v>10</v>
      </c>
      <c r="F80" s="2">
        <v>30000</v>
      </c>
      <c r="G80" s="2">
        <f t="shared" si="4"/>
        <v>475000</v>
      </c>
      <c r="H80" s="4">
        <f t="shared" si="5"/>
        <v>-5000</v>
      </c>
      <c r="I80" s="2" t="s">
        <v>11</v>
      </c>
    </row>
    <row r="81" spans="1:9" x14ac:dyDescent="0.2">
      <c r="A81" s="2" t="s">
        <v>90</v>
      </c>
      <c r="B81" s="2" t="s">
        <v>115</v>
      </c>
      <c r="C81" s="2">
        <v>944889900</v>
      </c>
      <c r="D81" s="4">
        <v>1500000</v>
      </c>
      <c r="E81" s="2" t="s">
        <v>7</v>
      </c>
      <c r="F81" s="2">
        <v>15000</v>
      </c>
      <c r="G81" s="2">
        <f t="shared" si="4"/>
        <v>1350000</v>
      </c>
      <c r="H81" s="4">
        <f t="shared" si="5"/>
        <v>135000</v>
      </c>
      <c r="I81" s="2" t="s">
        <v>8</v>
      </c>
    </row>
    <row r="82" spans="1:9" x14ac:dyDescent="0.2">
      <c r="A82" s="2" t="s">
        <v>91</v>
      </c>
      <c r="B82" s="2" t="s">
        <v>116</v>
      </c>
      <c r="C82" s="2">
        <v>933221100</v>
      </c>
      <c r="D82" s="4">
        <v>2000000</v>
      </c>
      <c r="F82" s="2">
        <v>30000</v>
      </c>
      <c r="G82" s="2">
        <f t="shared" si="4"/>
        <v>2000000</v>
      </c>
      <c r="H82" s="4">
        <f t="shared" si="5"/>
        <v>-30000</v>
      </c>
      <c r="I82" s="2" t="s">
        <v>13</v>
      </c>
    </row>
    <row r="83" spans="1:9" x14ac:dyDescent="0.2">
      <c r="A83" s="2" t="s">
        <v>92</v>
      </c>
      <c r="B83" s="2" t="s">
        <v>117</v>
      </c>
      <c r="C83" s="2">
        <v>966445566</v>
      </c>
      <c r="D83" s="4">
        <v>500000</v>
      </c>
      <c r="E83" s="2" t="s">
        <v>10</v>
      </c>
      <c r="F83" s="2">
        <v>15000</v>
      </c>
      <c r="G83" s="2">
        <f t="shared" si="4"/>
        <v>475000</v>
      </c>
      <c r="H83" s="4">
        <f t="shared" si="5"/>
        <v>10000</v>
      </c>
      <c r="I83" s="2" t="s">
        <v>8</v>
      </c>
    </row>
    <row r="84" spans="1:9" x14ac:dyDescent="0.2">
      <c r="A84" s="2" t="s">
        <v>93</v>
      </c>
      <c r="B84" s="2" t="s">
        <v>118</v>
      </c>
      <c r="C84" s="2">
        <v>922778899</v>
      </c>
      <c r="D84" s="4">
        <v>1500000</v>
      </c>
      <c r="E84" s="2" t="s">
        <v>7</v>
      </c>
      <c r="F84" s="2">
        <v>30000</v>
      </c>
      <c r="G84" s="2">
        <f t="shared" si="4"/>
        <v>1350000</v>
      </c>
      <c r="H84" s="4">
        <f t="shared" si="5"/>
        <v>120000</v>
      </c>
      <c r="I84" s="2" t="s">
        <v>8</v>
      </c>
    </row>
    <row r="85" spans="1:9" x14ac:dyDescent="0.2">
      <c r="A85" s="2" t="s">
        <v>94</v>
      </c>
      <c r="B85" s="2" t="s">
        <v>119</v>
      </c>
      <c r="C85" s="2">
        <v>911002233</v>
      </c>
      <c r="D85" s="4">
        <v>2000000</v>
      </c>
      <c r="E85" s="2" t="s">
        <v>10</v>
      </c>
      <c r="F85" s="2">
        <v>15000</v>
      </c>
      <c r="G85" s="2">
        <f t="shared" si="4"/>
        <v>1900000</v>
      </c>
      <c r="H85" s="4">
        <f t="shared" si="5"/>
        <v>85000</v>
      </c>
      <c r="I85" s="2" t="s">
        <v>11</v>
      </c>
    </row>
    <row r="86" spans="1:9" x14ac:dyDescent="0.2">
      <c r="A86" s="2" t="s">
        <v>95</v>
      </c>
      <c r="B86" s="2" t="s">
        <v>120</v>
      </c>
      <c r="C86" s="2">
        <v>988009911</v>
      </c>
      <c r="D86" s="4">
        <v>500000</v>
      </c>
      <c r="F86" s="2">
        <v>30000</v>
      </c>
      <c r="G86" s="2">
        <f t="shared" si="4"/>
        <v>500000</v>
      </c>
      <c r="H86" s="4">
        <f t="shared" si="5"/>
        <v>-30000</v>
      </c>
      <c r="I86" s="2" t="s">
        <v>8</v>
      </c>
    </row>
    <row r="87" spans="1:9" x14ac:dyDescent="0.2">
      <c r="A87" s="2" t="s">
        <v>96</v>
      </c>
      <c r="B87" s="2" t="s">
        <v>121</v>
      </c>
      <c r="C87" s="2">
        <v>900112233</v>
      </c>
      <c r="D87" s="4">
        <v>1500000</v>
      </c>
      <c r="E87" s="2" t="s">
        <v>7</v>
      </c>
      <c r="F87" s="2">
        <v>15000</v>
      </c>
      <c r="G87" s="2">
        <f t="shared" si="4"/>
        <v>1350000</v>
      </c>
      <c r="H87" s="4">
        <f t="shared" si="5"/>
        <v>135000</v>
      </c>
      <c r="I87" s="2" t="s">
        <v>13</v>
      </c>
    </row>
    <row r="88" spans="1:9" x14ac:dyDescent="0.2">
      <c r="A88" s="2" t="s">
        <v>97</v>
      </c>
      <c r="B88" s="2" t="s">
        <v>122</v>
      </c>
      <c r="C88" s="2">
        <v>977443322</v>
      </c>
      <c r="D88" s="4">
        <v>2000000</v>
      </c>
      <c r="E88" s="2" t="s">
        <v>10</v>
      </c>
      <c r="F88" s="2">
        <v>30000</v>
      </c>
      <c r="G88" s="2">
        <f t="shared" si="4"/>
        <v>1900000</v>
      </c>
      <c r="H88" s="4">
        <f t="shared" si="5"/>
        <v>70000</v>
      </c>
      <c r="I88" s="2" t="s">
        <v>8</v>
      </c>
    </row>
    <row r="89" spans="1:9" x14ac:dyDescent="0.2">
      <c r="A89" s="2" t="s">
        <v>98</v>
      </c>
      <c r="B89" s="2" t="s">
        <v>123</v>
      </c>
      <c r="C89" s="2">
        <v>944332211</v>
      </c>
      <c r="D89" s="4">
        <v>500000</v>
      </c>
      <c r="F89" s="2">
        <v>15000</v>
      </c>
      <c r="G89" s="2">
        <f t="shared" si="4"/>
        <v>500000</v>
      </c>
      <c r="H89" s="4">
        <f t="shared" si="5"/>
        <v>-15000</v>
      </c>
      <c r="I89" s="2" t="s">
        <v>8</v>
      </c>
    </row>
    <row r="90" spans="1:9" x14ac:dyDescent="0.2">
      <c r="A90" s="2" t="s">
        <v>99</v>
      </c>
      <c r="B90" s="2" t="s">
        <v>124</v>
      </c>
      <c r="C90" s="2">
        <v>911223344</v>
      </c>
      <c r="D90" s="4">
        <v>1500000</v>
      </c>
      <c r="E90" s="2" t="s">
        <v>7</v>
      </c>
      <c r="F90" s="2">
        <v>30000</v>
      </c>
      <c r="G90" s="2">
        <f t="shared" si="4"/>
        <v>1350000</v>
      </c>
      <c r="H90" s="4">
        <f t="shared" si="5"/>
        <v>120000</v>
      </c>
      <c r="I90" s="2" t="s">
        <v>11</v>
      </c>
    </row>
    <row r="91" spans="1:9" x14ac:dyDescent="0.2">
      <c r="A91" s="2" t="s">
        <v>100</v>
      </c>
      <c r="B91" s="2" t="s">
        <v>125</v>
      </c>
      <c r="C91" s="2">
        <v>933445566</v>
      </c>
      <c r="D91" s="4">
        <v>2000000</v>
      </c>
      <c r="E91" s="2" t="s">
        <v>10</v>
      </c>
      <c r="F91" s="2">
        <v>15000</v>
      </c>
      <c r="G91" s="2">
        <f t="shared" si="4"/>
        <v>1900000</v>
      </c>
      <c r="H91" s="4">
        <f t="shared" si="5"/>
        <v>85000</v>
      </c>
      <c r="I91" s="2" t="s">
        <v>8</v>
      </c>
    </row>
    <row r="92" spans="1:9" x14ac:dyDescent="0.2">
      <c r="A92" s="2" t="s">
        <v>101</v>
      </c>
      <c r="B92" s="2" t="s">
        <v>126</v>
      </c>
      <c r="C92" s="2">
        <v>966778899</v>
      </c>
      <c r="D92" s="4">
        <v>500000</v>
      </c>
      <c r="F92" s="2">
        <v>30000</v>
      </c>
      <c r="G92" s="2">
        <f t="shared" si="4"/>
        <v>500000</v>
      </c>
      <c r="H92" s="4">
        <f t="shared" si="5"/>
        <v>-30000</v>
      </c>
      <c r="I92" s="2" t="s">
        <v>13</v>
      </c>
    </row>
    <row r="93" spans="1:9" x14ac:dyDescent="0.2">
      <c r="A93" s="2" t="s">
        <v>102</v>
      </c>
      <c r="B93" s="2" t="s">
        <v>127</v>
      </c>
      <c r="C93" s="2">
        <v>922334455</v>
      </c>
      <c r="D93" s="4">
        <v>1500000</v>
      </c>
      <c r="E93" s="2" t="s">
        <v>7</v>
      </c>
      <c r="F93" s="2">
        <v>15000</v>
      </c>
      <c r="G93" s="2">
        <f t="shared" si="4"/>
        <v>1350000</v>
      </c>
      <c r="H93" s="4">
        <f t="shared" si="5"/>
        <v>135000</v>
      </c>
      <c r="I93" s="2" t="s">
        <v>8</v>
      </c>
    </row>
    <row r="94" spans="1:9" x14ac:dyDescent="0.2">
      <c r="A94" s="2" t="s">
        <v>103</v>
      </c>
      <c r="B94" s="2" t="s">
        <v>128</v>
      </c>
      <c r="C94" s="2">
        <v>988112233</v>
      </c>
      <c r="D94" s="4">
        <v>2000000</v>
      </c>
      <c r="E94" s="2" t="s">
        <v>10</v>
      </c>
      <c r="F94" s="2">
        <v>30000</v>
      </c>
      <c r="G94" s="2">
        <f t="shared" si="4"/>
        <v>1900000</v>
      </c>
      <c r="H94" s="4">
        <f t="shared" si="5"/>
        <v>70000</v>
      </c>
      <c r="I94" s="2" t="s">
        <v>8</v>
      </c>
    </row>
    <row r="95" spans="1:9" x14ac:dyDescent="0.2">
      <c r="A95" s="2" t="s">
        <v>104</v>
      </c>
      <c r="B95" s="2" t="s">
        <v>129</v>
      </c>
      <c r="C95" s="2">
        <v>900334455</v>
      </c>
      <c r="D95" s="4">
        <v>500000</v>
      </c>
      <c r="E95" s="2" t="s">
        <v>7</v>
      </c>
      <c r="F95" s="2">
        <v>15000</v>
      </c>
      <c r="G95" s="2">
        <f t="shared" si="4"/>
        <v>450000</v>
      </c>
      <c r="H95" s="4">
        <f t="shared" si="5"/>
        <v>35000</v>
      </c>
      <c r="I95" s="2" t="s">
        <v>11</v>
      </c>
    </row>
    <row r="96" spans="1:9" x14ac:dyDescent="0.2">
      <c r="A96" s="2" t="s">
        <v>105</v>
      </c>
      <c r="B96" s="2" t="s">
        <v>130</v>
      </c>
      <c r="C96" s="2">
        <v>977665544</v>
      </c>
      <c r="D96" s="4">
        <v>1500000</v>
      </c>
      <c r="F96" s="2">
        <v>30000</v>
      </c>
      <c r="G96" s="2">
        <f t="shared" si="4"/>
        <v>1500000</v>
      </c>
      <c r="H96" s="4">
        <f t="shared" si="5"/>
        <v>-30000</v>
      </c>
      <c r="I96" s="2" t="s">
        <v>8</v>
      </c>
    </row>
    <row r="97" spans="1:9" x14ac:dyDescent="0.2">
      <c r="A97" s="2" t="s">
        <v>106</v>
      </c>
      <c r="B97" s="2" t="s">
        <v>131</v>
      </c>
      <c r="C97" s="2">
        <v>944778899</v>
      </c>
      <c r="D97" s="4">
        <v>2000000</v>
      </c>
      <c r="E97" s="2" t="s">
        <v>10</v>
      </c>
      <c r="F97" s="2">
        <v>15000</v>
      </c>
      <c r="G97" s="2">
        <f t="shared" si="4"/>
        <v>1900000</v>
      </c>
      <c r="H97" s="4">
        <f t="shared" si="5"/>
        <v>85000</v>
      </c>
      <c r="I97" s="2" t="s">
        <v>13</v>
      </c>
    </row>
    <row r="98" spans="1:9" x14ac:dyDescent="0.2">
      <c r="A98" s="2" t="s">
        <v>107</v>
      </c>
      <c r="B98" s="2" t="s">
        <v>132</v>
      </c>
      <c r="C98" s="2">
        <v>911556677</v>
      </c>
      <c r="D98" s="4">
        <v>500000</v>
      </c>
      <c r="E98" s="2" t="s">
        <v>7</v>
      </c>
      <c r="F98" s="2">
        <v>30000</v>
      </c>
      <c r="G98" s="2">
        <f t="shared" si="4"/>
        <v>450000</v>
      </c>
      <c r="H98" s="4">
        <f t="shared" ref="H98:H129" si="6">D98-G98-F98</f>
        <v>20000</v>
      </c>
      <c r="I98" s="2" t="s">
        <v>8</v>
      </c>
    </row>
    <row r="99" spans="1:9" x14ac:dyDescent="0.2">
      <c r="A99" s="2" t="s">
        <v>108</v>
      </c>
      <c r="B99" s="2" t="s">
        <v>133</v>
      </c>
      <c r="C99" s="2">
        <v>933889900</v>
      </c>
      <c r="D99" s="4">
        <v>1500000</v>
      </c>
      <c r="F99" s="2">
        <v>15000</v>
      </c>
      <c r="G99" s="2">
        <f t="shared" si="4"/>
        <v>1500000</v>
      </c>
      <c r="H99" s="4">
        <f t="shared" si="6"/>
        <v>-15000</v>
      </c>
      <c r="I99" s="2" t="s">
        <v>8</v>
      </c>
    </row>
    <row r="100" spans="1:9" x14ac:dyDescent="0.2">
      <c r="A100" s="2" t="s">
        <v>109</v>
      </c>
      <c r="B100" s="2" t="s">
        <v>134</v>
      </c>
      <c r="C100" s="2">
        <v>966112233</v>
      </c>
      <c r="D100" s="4">
        <v>2000000</v>
      </c>
      <c r="E100" s="2" t="s">
        <v>10</v>
      </c>
      <c r="F100" s="2">
        <v>30000</v>
      </c>
      <c r="G100" s="2">
        <f t="shared" si="4"/>
        <v>1900000</v>
      </c>
      <c r="H100" s="4">
        <f t="shared" si="6"/>
        <v>70000</v>
      </c>
      <c r="I100" s="2" t="s">
        <v>11</v>
      </c>
    </row>
    <row r="101" spans="1:9" x14ac:dyDescent="0.2">
      <c r="A101" s="2" t="s">
        <v>110</v>
      </c>
      <c r="B101" s="2" t="s">
        <v>135</v>
      </c>
      <c r="C101" s="2">
        <v>922445566</v>
      </c>
      <c r="D101" s="4">
        <v>500000</v>
      </c>
      <c r="E101" s="2" t="s">
        <v>7</v>
      </c>
      <c r="F101" s="2">
        <v>15000</v>
      </c>
      <c r="G101" s="2">
        <f t="shared" si="4"/>
        <v>450000</v>
      </c>
      <c r="H101" s="4">
        <f t="shared" si="6"/>
        <v>35000</v>
      </c>
      <c r="I101" s="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2026-01-21T02:37:59Z</dcterms:created>
  <dcterms:modified xsi:type="dcterms:W3CDTF">2026-01-21T02:37:59Z</dcterms:modified>
</cp:coreProperties>
</file>